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showInkAnnotation="0" defaultThemeVersion="124226"/>
  <mc:AlternateContent xmlns:mc="http://schemas.openxmlformats.org/markup-compatibility/2006">
    <mc:Choice Requires="x15">
      <x15ac:absPath xmlns:x15ac="http://schemas.microsoft.com/office/spreadsheetml/2010/11/ac" url="\\nsdata3\Crystal\Monthly Output\2026\Aug\"/>
    </mc:Choice>
  </mc:AlternateContent>
  <xr:revisionPtr revIDLastSave="0" documentId="8_{8A1EB458-4EED-463B-B9E8-F465FC5A03B9}" xr6:coauthVersionLast="47" xr6:coauthVersionMax="47" xr10:uidLastSave="{00000000-0000-0000-0000-000000000000}"/>
  <bookViews>
    <workbookView xWindow="-120" yWindow="21480" windowWidth="29040" windowHeight="17520" tabRatio="734" xr2:uid="{00000000-000D-0000-FFFF-FFFF00000000}"/>
  </bookViews>
  <sheets>
    <sheet name="Data sheet" sheetId="14" r:id="rId1"/>
    <sheet name="Data fields" sheetId="40" r:id="rId2"/>
    <sheet name="Organisations list" sheetId="39" r:id="rId3"/>
  </sheets>
  <definedNames>
    <definedName name="_xlnm._FilterDatabase" localSheetId="0" hidden="1">'Data sheet'!#REF!</definedName>
    <definedName name="_xlnm._FilterDatabase" localSheetId="2" hidden="1">'Organisations list'!$C:$C</definedName>
    <definedName name="_xlnm.Extract" localSheetId="0">'Data sheet'!#REF!</definedName>
    <definedName name="_xlnm.Extract" localSheetId="2">'Organisations list'!$G$1</definedName>
    <definedName name="Organisation_Type">#REF!</definedName>
    <definedName name="Organisations">#REF!</definedName>
    <definedName name="_xlnm.Print_Area" localSheetId="0">'Data sheet'!$C$1:$AO$25</definedName>
    <definedName name="Yes_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 i="14" l="1"/>
  <c r="AK11" i="14" l="1"/>
  <c r="AN11" i="14"/>
  <c r="AK12" i="14"/>
  <c r="AN12" i="14"/>
  <c r="AO12" i="14" s="1"/>
  <c r="AK13" i="14"/>
  <c r="AN13" i="14"/>
  <c r="AK14" i="14"/>
  <c r="AN14" i="14"/>
  <c r="AK15" i="14"/>
  <c r="AN15" i="14"/>
  <c r="AK16" i="14"/>
  <c r="AN16" i="14"/>
  <c r="AK17" i="14"/>
  <c r="AN17" i="14"/>
  <c r="AK18" i="14"/>
  <c r="AN18" i="14"/>
  <c r="AK19" i="14"/>
  <c r="AN19" i="14"/>
  <c r="AK20" i="14"/>
  <c r="AN20" i="14"/>
  <c r="AK21" i="14"/>
  <c r="AN21" i="14"/>
  <c r="AK22" i="14"/>
  <c r="AN22" i="14"/>
  <c r="AK23" i="14"/>
  <c r="AN23" i="14"/>
  <c r="AK24" i="14"/>
  <c r="AN24" i="14"/>
  <c r="AK25" i="14"/>
  <c r="AN25" i="14"/>
  <c r="AO25" i="14" s="1"/>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R11" i="14"/>
  <c r="R12" i="14"/>
  <c r="R13" i="14"/>
  <c r="R14" i="14"/>
  <c r="R15" i="14"/>
  <c r="R16" i="14"/>
  <c r="R17" i="14"/>
  <c r="R18" i="14"/>
  <c r="R19" i="14"/>
  <c r="R20" i="14"/>
  <c r="R21" i="14"/>
  <c r="R22" i="14"/>
  <c r="R23" i="14"/>
  <c r="R24" i="14"/>
  <c r="R25" i="14"/>
  <c r="S11" i="14"/>
  <c r="S12" i="14"/>
  <c r="S13" i="14"/>
  <c r="S14" i="14"/>
  <c r="AD14" i="14" s="1"/>
  <c r="S15" i="14"/>
  <c r="AD15" i="14" s="1"/>
  <c r="S16" i="14"/>
  <c r="S17" i="14"/>
  <c r="S18" i="14"/>
  <c r="S19" i="14"/>
  <c r="S20" i="14"/>
  <c r="S21" i="14"/>
  <c r="S22" i="14"/>
  <c r="S23" i="14"/>
  <c r="AD23" i="14" s="1"/>
  <c r="S24" i="14"/>
  <c r="S25" i="14"/>
  <c r="AC20" i="14" l="1"/>
  <c r="AC18" i="14"/>
  <c r="AO24" i="14"/>
  <c r="AC22" i="14"/>
  <c r="AD13" i="14"/>
  <c r="AD20" i="14"/>
  <c r="AD12" i="14"/>
  <c r="AD19" i="14"/>
  <c r="AD18" i="14"/>
  <c r="AO16" i="14"/>
  <c r="AD24" i="14"/>
  <c r="AD17" i="14"/>
  <c r="AO21" i="14"/>
  <c r="AO13" i="14"/>
  <c r="AC14" i="14"/>
  <c r="AC13" i="14"/>
  <c r="AD22" i="14"/>
  <c r="AD21" i="14"/>
  <c r="AO23" i="14"/>
  <c r="AO19" i="14"/>
  <c r="AD11" i="14"/>
  <c r="AD25" i="14"/>
  <c r="AC24" i="14"/>
  <c r="AC16" i="14"/>
  <c r="AO20" i="14"/>
  <c r="AD16" i="14"/>
  <c r="AC23" i="14"/>
  <c r="AC12" i="14"/>
  <c r="AC11" i="14"/>
  <c r="AO18" i="14"/>
  <c r="AO11" i="14"/>
  <c r="AC25" i="14"/>
  <c r="AO22" i="14"/>
  <c r="AC15" i="14"/>
  <c r="AO15" i="14"/>
  <c r="AC19" i="14"/>
  <c r="AC17" i="14"/>
  <c r="AC21" i="14"/>
  <c r="AO17" i="14"/>
  <c r="AO14" i="14"/>
  <c r="R10" i="14"/>
  <c r="S10" i="14"/>
  <c r="Z10" i="14"/>
  <c r="AA10" i="14"/>
  <c r="AK10" i="14"/>
  <c r="AN10" i="14"/>
  <c r="AO10" i="14" l="1"/>
  <c r="AD10" i="14"/>
  <c r="AC10" i="14"/>
  <c r="Z2" i="14"/>
  <c r="R2" i="14"/>
  <c r="S2" i="14"/>
  <c r="AC2" i="14" l="1"/>
  <c r="AN2" i="14"/>
  <c r="AK2" i="14"/>
  <c r="AA2" i="14"/>
  <c r="AD2" i="14" s="1"/>
  <c r="AO2" i="14" l="1"/>
  <c r="Z3" i="14"/>
  <c r="AA3" i="14"/>
  <c r="Z4" i="14"/>
  <c r="AA4" i="14"/>
  <c r="Z5" i="14"/>
  <c r="AA5" i="14"/>
  <c r="Z6" i="14"/>
  <c r="AA6" i="14"/>
  <c r="AA7" i="14"/>
  <c r="Z8" i="14"/>
  <c r="AA8" i="14"/>
  <c r="Z9" i="14"/>
  <c r="AA9" i="14"/>
  <c r="AN3" i="14" l="1"/>
  <c r="AN4" i="14"/>
  <c r="AN5" i="14"/>
  <c r="AN6" i="14"/>
  <c r="AN7" i="14"/>
  <c r="AK7" i="14"/>
  <c r="AN8" i="14"/>
  <c r="AN9" i="14"/>
  <c r="AK3" i="14"/>
  <c r="AK4" i="14"/>
  <c r="AK5" i="14"/>
  <c r="AK6" i="14"/>
  <c r="AK8" i="14"/>
  <c r="AK9" i="14"/>
  <c r="S3" i="14"/>
  <c r="AD3" i="14" s="1"/>
  <c r="S7" i="14"/>
  <c r="AD7" i="14" s="1"/>
  <c r="R4" i="14"/>
  <c r="AC4" i="14" s="1"/>
  <c r="S4" i="14"/>
  <c r="AD4" i="14" s="1"/>
  <c r="R5" i="14"/>
  <c r="AC5" i="14" s="1"/>
  <c r="S5" i="14"/>
  <c r="AD5" i="14" s="1"/>
  <c r="R6" i="14"/>
  <c r="AC6" i="14" s="1"/>
  <c r="S6" i="14"/>
  <c r="AD6" i="14" s="1"/>
  <c r="R7" i="14"/>
  <c r="AC7" i="14" s="1"/>
  <c r="R8" i="14"/>
  <c r="AC8" i="14" s="1"/>
  <c r="S8" i="14"/>
  <c r="AD8" i="14" s="1"/>
  <c r="R9" i="14"/>
  <c r="AC9" i="14" s="1"/>
  <c r="S9" i="14"/>
  <c r="AD9" i="14" s="1"/>
  <c r="AO3" i="14" l="1"/>
  <c r="AO4" i="14"/>
  <c r="AO6" i="14"/>
  <c r="AO7" i="14"/>
  <c r="AO5" i="14"/>
  <c r="AO8" i="14"/>
  <c r="AO9" i="14"/>
  <c r="R3" i="14"/>
  <c r="AC3"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<sst xmlns="http://schemas.openxmlformats.org/spreadsheetml/2006/main" count="969" uniqueCount="309">
  <si>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</si>
  <si>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</si>
  <si>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</si>
  <si>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</si>
  <si>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</si>
  <si>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</si>
  <si>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</si>
  <si>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</si>
  <si>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</si>
  <si>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</si>
  <si>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</si>
  <si>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</si>
  <si>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</si>
  <si>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</si>
  <si>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</si>
  <si>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</si>
  <si>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</si>
  <si>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</si>
  <si>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</si>
  <si>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</si>
  <si>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</si>
  <si>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</si>
  <si>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</si>
  <si>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</si>
  <si>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</si>
  <si>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</si>
  <si>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</si>
  <si>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</si>
  <si>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</si>
  <si>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</si>
  <si>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</si>
  <si>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</si>
  <si>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</si>
  <si>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</si>
  <si>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</si>
  <si>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</si>
  <si>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</si>
  <si>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</si>
  <si>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</si>
  <si>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</si>
  <si>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</si>
  <si>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August</t>
  </si>
  <si>
    <t>UK Statistics Authority</t>
  </si>
  <si>
    <t>Non-Ministerial Department</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</si>
  <si>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</si>
  <si>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</si>
  <si>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</si>
  <si>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</si>
  <si>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</si>
  <si>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</si>
  <si>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</si>
  <si>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</si>
  <si>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</si>
  <si>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</si>
  <si>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</si>
  <si>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</si>
  <si>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</si>
  <si>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</si>
  <si>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</si>
  <si>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</si>
  <si>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</si>
  <si>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</si>
  <si>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</si>
  <si>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</si>
  <si>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</si>
  <si>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</si>
  <si>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r>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that the payments recorded in the '</t>
    </r>
    <r>
      <rPr>
        <i/>
        <sz val="10"/>
        <rFont val="Arial"/>
        <family val="2"/>
      </rPr>
      <t>Non-payroll staff cost; Consultancy</t>
    </r>
    <r>
      <rPr>
        <sz val="10"/>
        <rFont val="Arial"/>
        <family val="2"/>
      </rPr>
      <t xml:space="preserve">' relate to.
Organisations should align their definitions for non-payroll staff with those used centrally from the CAS document, which can be found here: </t>
    </r>
    <r>
      <rPr>
        <i/>
        <sz val="10"/>
        <rFont val="Arial"/>
        <family val="2"/>
      </rPr>
      <t>https://assets.publishing.service.gov.uk/government/uploads/system/uploads/attachment_data/file/987885/Procurement_CAS_Definition_Release_9_v1__2_.pdf</t>
    </r>
    <r>
      <rPr>
        <sz val="10"/>
        <rFont val="Arial"/>
        <family val="2"/>
      </rPr>
      <t xml:space="preserve"> 
NB: definitions of the different categories of contingent labour from the CAS document are provided below.</t>
    </r>
  </si>
  <si>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</si>
  <si>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</si>
  <si>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</si>
  <si>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</si>
  <si>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</si>
  <si>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</si>
  <si>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</si>
  <si>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r>
      <t xml:space="preserve">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
</t>
    </r>
    <r>
      <rPr>
        <i/>
        <sz val="10"/>
        <rFont val="Arial"/>
        <family val="2"/>
      </rPr>
      <t xml:space="preserve">- If unclear on which section of contingent labour your organisation's non-civil service temporary labour falls under, </t>
    </r>
    <r>
      <rPr>
        <i/>
        <sz val="10"/>
        <color rgb="FFFF0000"/>
        <rFont val="Arial"/>
        <family val="2"/>
      </rPr>
      <t>use this category as a catch-all for contingent labour.</t>
    </r>
    <r>
      <rPr>
        <i/>
        <sz val="10"/>
        <rFont val="Arial"/>
        <family val="2"/>
      </rPr>
      <t xml:space="preserve"> </t>
    </r>
  </si>
  <si>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</si>
  <si>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</si>
  <si>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</si>
  <si>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r>
      <t xml:space="preserve">Please refer to HMT guidance. Link: 
</t>
    </r>
    <r>
      <rPr>
        <i/>
        <sz val="10"/>
        <rFont val="Arial"/>
        <family val="2"/>
      </rPr>
      <t>https://www.gov.uk/government/publications/civil-service-pay-remit-guidance-2022-to-2023/civil-service-pay-remit-guidance-2022-to-2023</t>
    </r>
  </si>
  <si>
    <t>Non-payroll staff Costs</t>
  </si>
  <si>
    <t xml:space="preserve"> </t>
  </si>
  <si>
    <t>Main, parent or sponsoring department</t>
  </si>
  <si>
    <t>Year/Month</t>
  </si>
  <si>
    <t>Attorney General's Departments</t>
  </si>
  <si>
    <t>Attorney General's Office</t>
  </si>
  <si>
    <t>Ministerial Department</t>
  </si>
  <si>
    <t>Active Travel England</t>
  </si>
  <si>
    <t>Crown Prosecution Service</t>
  </si>
  <si>
    <t>Cabinet Office</t>
  </si>
  <si>
    <t>Advanced Research and Invention Agency</t>
  </si>
  <si>
    <t>Government Legal Department</t>
  </si>
  <si>
    <t>Charity Commission</t>
  </si>
  <si>
    <t>Advisory Conciliation and Arbitration Service</t>
  </si>
  <si>
    <t>Executive Agency</t>
  </si>
  <si>
    <t>January</t>
  </si>
  <si>
    <t>Serious Fraud Office</t>
  </si>
  <si>
    <t>Competition and Markets Authority</t>
  </si>
  <si>
    <t>Agriculture and Horticulture Development Board</t>
  </si>
  <si>
    <t>Crown Non-Departmental Public Body</t>
  </si>
  <si>
    <t>February</t>
  </si>
  <si>
    <t>HM Crown Prosecution Service Inspectorate</t>
  </si>
  <si>
    <t>Other</t>
  </si>
  <si>
    <t>Department for Business and Trade</t>
  </si>
  <si>
    <t>Animal and Plant Health Agency</t>
  </si>
  <si>
    <t>Executive Non-Departmental Public Body</t>
  </si>
  <si>
    <t>March</t>
  </si>
  <si>
    <t>Department for Culture, Media and Sport</t>
  </si>
  <si>
    <t>Arts Council England</t>
  </si>
  <si>
    <t>Special Health Authority</t>
  </si>
  <si>
    <t>April</t>
  </si>
  <si>
    <t>Crown Commercial Service</t>
  </si>
  <si>
    <t>Department for Education</t>
  </si>
  <si>
    <t>Atomic Weapons Establishment</t>
  </si>
  <si>
    <t>May</t>
  </si>
  <si>
    <t>Government Property Agency</t>
  </si>
  <si>
    <t>Department for Energy Security and Net Zero</t>
  </si>
  <si>
    <t>Other CO agency</t>
  </si>
  <si>
    <t>June</t>
  </si>
  <si>
    <t>Central Civil Service Fast Stream</t>
  </si>
  <si>
    <t>Department for Science, Innovation and Technology</t>
  </si>
  <si>
    <t>British Council</t>
  </si>
  <si>
    <t>Government Commercial Organisation</t>
  </si>
  <si>
    <t>Department for Transport</t>
  </si>
  <si>
    <t>British Film Institute</t>
  </si>
  <si>
    <t>September</t>
  </si>
  <si>
    <t>Civil Service Commission</t>
  </si>
  <si>
    <t>Department for Work and Pensions</t>
  </si>
  <si>
    <t>British Hallmarking Council</t>
  </si>
  <si>
    <t>October</t>
  </si>
  <si>
    <t>Equality and Human Rights Commission</t>
  </si>
  <si>
    <t>Department of Health and Social Care</t>
  </si>
  <si>
    <t>British Library</t>
  </si>
  <si>
    <t>November</t>
  </si>
  <si>
    <t>Estyn</t>
  </si>
  <si>
    <t>British Museum</t>
  </si>
  <si>
    <t>December</t>
  </si>
  <si>
    <t>Export Credits Guarantee Department</t>
  </si>
  <si>
    <t>British Transport Police Authority</t>
  </si>
  <si>
    <t>Food Standards Agency</t>
  </si>
  <si>
    <t>Building Digital UK</t>
  </si>
  <si>
    <t>The Insolvency Service</t>
  </si>
  <si>
    <t>Foreign, Commonwealth and Development Office</t>
  </si>
  <si>
    <t>Companies House</t>
  </si>
  <si>
    <t>HM Revenue and Customs</t>
  </si>
  <si>
    <t>Care Quality Commission</t>
  </si>
  <si>
    <t>HM Treasury</t>
  </si>
  <si>
    <t>Home Office</t>
  </si>
  <si>
    <t>Centre for Environment, Fisheries and Aquaculture Science</t>
  </si>
  <si>
    <t>Competition Service</t>
  </si>
  <si>
    <t>Ministry of Defence</t>
  </si>
  <si>
    <t>Financial Reporting Council</t>
  </si>
  <si>
    <t>Ministry of Housing, Communities and Local Government</t>
  </si>
  <si>
    <t>Children and Family Court Advisory and Support Services</t>
  </si>
  <si>
    <t>Small Business Commissioner</t>
  </si>
  <si>
    <t>Ministry of Justice</t>
  </si>
  <si>
    <t>Civil Nuclear Police Authority</t>
  </si>
  <si>
    <t>Trade Remedies Authority</t>
  </si>
  <si>
    <t>National Crime Agency</t>
  </si>
  <si>
    <t>Northern Ireland Office</t>
  </si>
  <si>
    <t>Committee on Climate Change</t>
  </si>
  <si>
    <t>Office for Standards in Education, Children's Services and Skills</t>
  </si>
  <si>
    <t>Commonwealth Scholarship Commission</t>
  </si>
  <si>
    <t>Office of Gas and Electricity Market</t>
  </si>
  <si>
    <t>Office of Qualifications and Examinations Regulation</t>
  </si>
  <si>
    <t>Office of Rail and Road</t>
  </si>
  <si>
    <t>Gambling Commission</t>
  </si>
  <si>
    <t>Office of the Secretary of State for Scotland</t>
  </si>
  <si>
    <t>Construction Industry Training Board</t>
  </si>
  <si>
    <t>Historic England</t>
  </si>
  <si>
    <t>Office of the Secretary of State for Wales</t>
  </si>
  <si>
    <t>Consumer Council for Water</t>
  </si>
  <si>
    <t>Horniman Public Museum and Public Park Trust</t>
  </si>
  <si>
    <t>Ofwat</t>
  </si>
  <si>
    <t>Criminal Cases Review Commission</t>
  </si>
  <si>
    <t>Horserace Betting Levy Board</t>
  </si>
  <si>
    <t>Security and Intelligence Services</t>
  </si>
  <si>
    <t>Criminal Injuries Compensation Authority</t>
  </si>
  <si>
    <t>Imperial War Museum</t>
  </si>
  <si>
    <t>The National Archives</t>
  </si>
  <si>
    <t>Museum of the Home</t>
  </si>
  <si>
    <t>National Gallery</t>
  </si>
  <si>
    <t>UK Supreme Court</t>
  </si>
  <si>
    <t>Defence Equipment and Support</t>
  </si>
  <si>
    <t>National Heritage Memorial Fund</t>
  </si>
  <si>
    <t>Defence Science and Technology Laboratory</t>
  </si>
  <si>
    <t>National Lottery Community Fund</t>
  </si>
  <si>
    <t>National Museums Liverpool</t>
  </si>
  <si>
    <t>National Portrait Gallery</t>
  </si>
  <si>
    <t>Natural History Museum</t>
  </si>
  <si>
    <t>Royal Armouries</t>
  </si>
  <si>
    <t>Department for Environment, Food and Rural Affairs</t>
  </si>
  <si>
    <t>Royal Museums Greenwich</t>
  </si>
  <si>
    <t>Science Museum Group</t>
  </si>
  <si>
    <t>Sir John Soane's Museum</t>
  </si>
  <si>
    <t>Sport England</t>
  </si>
  <si>
    <t>Department of Health and Social Care (excl agencies)</t>
  </si>
  <si>
    <t>Sports Ground Safety Authority</t>
  </si>
  <si>
    <t>Disclosure and Barring Service</t>
  </si>
  <si>
    <t>Tate Gallery</t>
  </si>
  <si>
    <t>Driver and Vehicle Licensing Agency</t>
  </si>
  <si>
    <t>UK Anti-Doping</t>
  </si>
  <si>
    <t>Driver and Vehicle Standards Agency</t>
  </si>
  <si>
    <t>UK Sport</t>
  </si>
  <si>
    <t>East West Railway Company Limited</t>
  </si>
  <si>
    <t>Victoria and Albert Museum</t>
  </si>
  <si>
    <t>Ebbsfleet Development Corporation</t>
  </si>
  <si>
    <t>Visit Britain</t>
  </si>
  <si>
    <t>Engineering Construction Industry Training Board</t>
  </si>
  <si>
    <t>Visit England</t>
  </si>
  <si>
    <t>Environment Agency</t>
  </si>
  <si>
    <t>Wallace Collection</t>
  </si>
  <si>
    <t>Skills England</t>
  </si>
  <si>
    <t>Standards and Testing Agency</t>
  </si>
  <si>
    <t>Export Guarantees Advisory Council</t>
  </si>
  <si>
    <t>Teaching Regulation Agency</t>
  </si>
  <si>
    <t>FCDO Services</t>
  </si>
  <si>
    <t>LocatEd</t>
  </si>
  <si>
    <t>Office for Students</t>
  </si>
  <si>
    <t>Office of the Children's Commissioner</t>
  </si>
  <si>
    <t>Gangmasters and Labour Abuse Authority</t>
  </si>
  <si>
    <t>Social Work England</t>
  </si>
  <si>
    <t>Government Actuary's Department</t>
  </si>
  <si>
    <t>Student Loans Company</t>
  </si>
  <si>
    <t>Government Internal Audit Agency</t>
  </si>
  <si>
    <t>Great British Nuclear</t>
  </si>
  <si>
    <t>Great Britain - China Centre</t>
  </si>
  <si>
    <t>Mining Remediation Authority</t>
  </si>
  <si>
    <t>North Sea Transition Authority</t>
  </si>
  <si>
    <t>Health and Safety Executive</t>
  </si>
  <si>
    <t>Nuclear Decommissioning Authority</t>
  </si>
  <si>
    <t>Health Research Authority</t>
  </si>
  <si>
    <t>UK Atomic Energy Authority</t>
  </si>
  <si>
    <t>Health Services Safety Investigations Body</t>
  </si>
  <si>
    <t>High Speed 2</t>
  </si>
  <si>
    <t>HM Courts and Tribunals Service</t>
  </si>
  <si>
    <t>Rural Payments Agency</t>
  </si>
  <si>
    <t>Veterinary Medicines Directorate</t>
  </si>
  <si>
    <t>HM Land Registry</t>
  </si>
  <si>
    <t>HM Prison and Probation Service</t>
  </si>
  <si>
    <t>Board of Trustees of the Royal Botanic Gardens Kew</t>
  </si>
  <si>
    <t>Home Office (excl agencies)</t>
  </si>
  <si>
    <t>Joint Nature Conservation Committee</t>
  </si>
  <si>
    <t>Homes England</t>
  </si>
  <si>
    <t>Marine Management Organisation</t>
  </si>
  <si>
    <t>Natural England</t>
  </si>
  <si>
    <t>Office for Environmental Protection</t>
  </si>
  <si>
    <t>Housing Ombudsman Service</t>
  </si>
  <si>
    <t>Seafish</t>
  </si>
  <si>
    <t>Human Fertilisation and Embryology Authority</t>
  </si>
  <si>
    <t>Human Tissue Authority</t>
  </si>
  <si>
    <t>Immigration Advice Authority</t>
  </si>
  <si>
    <t>Intellectual Property Office</t>
  </si>
  <si>
    <t>Met Office</t>
  </si>
  <si>
    <t>Independent Monitoring Authority for the Citizens’ Rights Agreements</t>
  </si>
  <si>
    <t>UK Space Agency</t>
  </si>
  <si>
    <t>Independent Office for Police Conduct</t>
  </si>
  <si>
    <t>Information Commissioner's Office</t>
  </si>
  <si>
    <t>UK Research and Innovation</t>
  </si>
  <si>
    <t>Judicial Appointments Commission</t>
  </si>
  <si>
    <t>Leasehold Advisory Service</t>
  </si>
  <si>
    <t>Legal Aid Agency</t>
  </si>
  <si>
    <t>Legal Services Board</t>
  </si>
  <si>
    <t>Maritime and Coastguard Agency</t>
  </si>
  <si>
    <t>Vehicle Certification Agency</t>
  </si>
  <si>
    <t>Marshall Aid Commemoration Commission</t>
  </si>
  <si>
    <t>Medicines and Healthcare Products Regulatory Agency</t>
  </si>
  <si>
    <t>National Highways</t>
  </si>
  <si>
    <t>Network Rail</t>
  </si>
  <si>
    <t>Northern Lighthouse Board</t>
  </si>
  <si>
    <t>Transport Focus</t>
  </si>
  <si>
    <t>Trinity House</t>
  </si>
  <si>
    <t>Money and Pensions Service</t>
  </si>
  <si>
    <t>National Army Museum</t>
  </si>
  <si>
    <t>The Pensions Regulator</t>
  </si>
  <si>
    <t>UK Health Security Agency</t>
  </si>
  <si>
    <t>National Institute for Health and Care Excellence</t>
  </si>
  <si>
    <t>National Museum of the Royal Navy</t>
  </si>
  <si>
    <t>NHS England</t>
  </si>
  <si>
    <t>National Savings and Investments</t>
  </si>
  <si>
    <t>NHS Blood and Transplant</t>
  </si>
  <si>
    <t>NHS Business Services Authority</t>
  </si>
  <si>
    <t>NHS Counter Fraud Authority</t>
  </si>
  <si>
    <t>NHS Resolution</t>
  </si>
  <si>
    <t>Northern Ireland Human Rights Commission</t>
  </si>
  <si>
    <t>Wilton Park Executive Agency</t>
  </si>
  <si>
    <t>Office for Budget Responsibility</t>
  </si>
  <si>
    <t>Office for National Statistics</t>
  </si>
  <si>
    <t>Westminster Foundation for Democracy</t>
  </si>
  <si>
    <t>Valuation Office Agency</t>
  </si>
  <si>
    <t>Office of the Public Guardian</t>
  </si>
  <si>
    <t>UK Debt Management Office</t>
  </si>
  <si>
    <t>Reclaim Fund Ltd</t>
  </si>
  <si>
    <t>UK Infrastructure Bank</t>
  </si>
  <si>
    <t>Parades Commission for Northern Ireland</t>
  </si>
  <si>
    <t>UK Government Investments</t>
  </si>
  <si>
    <t>Parole Board</t>
  </si>
  <si>
    <t>Planning Inspectorate</t>
  </si>
  <si>
    <t>Queen Elizabeth II Centre</t>
  </si>
  <si>
    <t>Regulator of Social Housing</t>
  </si>
  <si>
    <t>Royal Air Force Museum</t>
  </si>
  <si>
    <t>Security Industry Authority</t>
  </si>
  <si>
    <t>Royal Fleet Auxiliary</t>
  </si>
  <si>
    <t>Submarine Delivery Agency</t>
  </si>
  <si>
    <t>UK Hydrographic Office</t>
  </si>
  <si>
    <t>Single Source Regulations Office</t>
  </si>
  <si>
    <t>Valuation Tribunal Service</t>
  </si>
  <si>
    <t>The Independent Commission for Reconciliation and Information Recovery</t>
  </si>
  <si>
    <t>Youth Justice Board for England and Wales</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</si>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</sst>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6">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u/>
      <sz val="12"/>
      <color theme="10"/>
      <name val="Arial"/>
      <family val="2"/>
    </font>
    <font>
      <b/>
      <sz val="10"/>
      <name val="Arial"/>
      <family val="2"/>
    </font>
    <font>
      <i/>
      <sz val="10"/>
      <name val="Arial"/>
      <family val="2"/>
    </font>
    <font>
      <i/>
      <sz val="10"/>
      <color rgb="FFFF0000"/>
      <name val="Arial"/>
      <family val="2"/>
    </font>
    <font>
      <sz val="9"/>
      <name val="Arial"/>
      <family val="2"/>
    </font>
  </fonts>
  <fills count="9">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1" fillId="0" borderId="0" applyNumberFormat="0" applyFill="0" applyBorder="0" applyAlignment="0" applyProtection="0"/>
  </cellStyleXfs>
  <cellXfs count="63">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0" xfId="0" applyFont="1" applyAlignment="1">
      <alignment vertical="center"/>
    </xf>
    <xf numFmtId="0" fontId="21" fillId="0" borderId="0" xfId="62" applyFill="1" applyBorder="1" applyAlignment="1">
      <alignment vertical="center"/>
    </xf>
    <xf numFmtId="2" fontId="0" fillId="4" borderId="1" xfId="0" applyNumberFormat="1" applyFill="1" applyBorder="1" applyAlignment="1" applyProtection="1">
      <alignment horizontal="right" vertical="center"/>
      <protection locked="0"/>
    </xf>
    <xf numFmtId="0" fontId="2" fillId="0" borderId="1" xfId="0" applyFont="1" applyBorder="1" applyAlignment="1">
      <alignment vertical="center" wrapText="1"/>
    </xf>
    <xf numFmtId="0" fontId="22" fillId="8" borderId="1" xfId="0" applyFont="1" applyFill="1" applyBorder="1" applyAlignment="1">
      <alignment horizontal="center" vertical="center" wrapText="1"/>
    </xf>
    <xf numFmtId="0" fontId="22" fillId="8"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0" xfId="0" applyFont="1" applyBorder="1" applyAlignment="1">
      <alignment vertical="center" wrapText="1"/>
    </xf>
    <xf numFmtId="0" fontId="0" fillId="0" borderId="8" xfId="0" applyBorder="1" applyAlignment="1">
      <alignment vertical="center"/>
    </xf>
    <xf numFmtId="0" fontId="0" fillId="0" borderId="13" xfId="0" applyBorder="1" applyAlignment="1">
      <alignment vertical="center"/>
    </xf>
    <xf numFmtId="0" fontId="17" fillId="8" borderId="2" xfId="0" applyFont="1" applyFill="1" applyBorder="1"/>
    <xf numFmtId="0" fontId="17" fillId="8" borderId="4" xfId="0" applyFont="1" applyFill="1" applyBorder="1"/>
    <xf numFmtId="0" fontId="17" fillId="8" borderId="3" xfId="0" applyFont="1" applyFill="1" applyBorder="1"/>
    <xf numFmtId="0" fontId="0" fillId="4" borderId="11" xfId="0" applyFill="1" applyBorder="1"/>
    <xf numFmtId="0" fontId="0" fillId="4" borderId="12" xfId="0" applyFill="1" applyBorder="1"/>
    <xf numFmtId="0" fontId="0" fillId="4" borderId="13" xfId="0" applyFill="1" applyBorder="1"/>
    <xf numFmtId="0" fontId="0" fillId="4" borderId="7" xfId="0" applyFill="1" applyBorder="1"/>
    <xf numFmtId="0" fontId="0" fillId="4" borderId="8" xfId="0" applyFill="1" applyBorder="1"/>
    <xf numFmtId="0" fontId="0" fillId="8" borderId="7" xfId="0" applyFill="1" applyBorder="1"/>
    <xf numFmtId="0" fontId="0" fillId="8" borderId="0" xfId="0" applyFill="1"/>
    <xf numFmtId="0" fontId="0" fillId="8" borderId="8" xfId="0" applyFill="1" applyBorder="1"/>
    <xf numFmtId="0" fontId="3" fillId="8" borderId="0" xfId="0" applyFont="1" applyFill="1"/>
    <xf numFmtId="0" fontId="0" fillId="4" borderId="0" xfId="0" applyFill="1" applyProtection="1">
      <protection locked="0"/>
    </xf>
    <xf numFmtId="0" fontId="0" fillId="8" borderId="5" xfId="0" applyFill="1" applyBorder="1"/>
    <xf numFmtId="0" fontId="0" fillId="8" borderId="9" xfId="0" applyFill="1" applyBorder="1"/>
    <xf numFmtId="0" fontId="0" fillId="8" borderId="6" xfId="0" applyFill="1" applyBorder="1"/>
    <xf numFmtId="0" fontId="0" fillId="0" borderId="0" xfId="0" applyProtection="1">
      <protection locked="0"/>
    </xf>
    <xf numFmtId="0" fontId="17" fillId="0" borderId="2" xfId="0" applyFont="1" applyBorder="1" applyAlignment="1">
      <alignment vertical="center"/>
    </xf>
    <xf numFmtId="0" fontId="17" fillId="0" borderId="4" xfId="0" applyFont="1" applyBorder="1" applyAlignment="1">
      <alignment vertical="center"/>
    </xf>
    <xf numFmtId="0" fontId="17" fillId="0" borderId="3" xfId="0" applyFont="1" applyBorder="1" applyAlignment="1">
      <alignment vertical="center"/>
    </xf>
    <xf numFmtId="0" fontId="19" fillId="0" borderId="0" xfId="0" applyFont="1" applyAlignment="1" applyProtection="1">
      <alignment vertical="center"/>
      <protection locked="0"/>
    </xf>
    <xf numFmtId="0" fontId="0" fillId="0" borderId="11" xfId="0" applyBorder="1"/>
    <xf numFmtId="0" fontId="0" fillId="0" borderId="12" xfId="0" applyBorder="1" applyProtection="1">
      <protection locked="0"/>
    </xf>
    <xf numFmtId="0" fontId="0" fillId="0" borderId="7" xfId="0" applyBorder="1"/>
    <xf numFmtId="0" fontId="25" fillId="0" borderId="0" xfId="0" applyFont="1" applyAlignment="1">
      <alignment horizontal="left" indent="1"/>
    </xf>
    <xf numFmtId="0" fontId="0" fillId="0" borderId="5" xfId="0" applyBorder="1"/>
    <xf numFmtId="0" fontId="3" fillId="0" borderId="0" xfId="0" applyFont="1" applyProtection="1">
      <protection locked="0"/>
    </xf>
    <xf numFmtId="0" fontId="3" fillId="0" borderId="0" xfId="0" applyFont="1" applyAlignment="1">
      <alignment vertical="center"/>
    </xf>
    <xf numFmtId="0" fontId="0" fillId="0" borderId="9" xfId="0" applyBorder="1" applyProtection="1">
      <protection locked="0"/>
    </xf>
    <xf numFmtId="1" fontId="0" fillId="0" borderId="1" xfId="0" applyNumberFormat="1" applyBorder="1" applyAlignment="1" applyProtection="1">
      <alignment horizontal="right" vertical="center" wrapText="1"/>
      <protection locked="0"/>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3">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53"/>
  <sheetViews>
    <sheetView tabSelected="1" zoomScale="85" zoomScaleNormal="85" workbookViewId="0">
      <selection activeCell="G11" sqref="G11"/>
    </sheetView>
  </sheetViews>
  <sheetFormatPr defaultColWidth="8.88671875" defaultRowHeight="15"/>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16384" width="8.88671875" style="1"/>
  </cols>
  <sheetData>
    <row r="1" spans="1:41" ht="75">
      <c r="A1" s="15" t="s">
        <v>0</v>
      </c>
      <c r="B1" s="15" t="s">
        <v>1</v>
      </c>
      <c r="C1" s="16" t="s">
        <v>2</v>
      </c>
      <c r="D1" s="16"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8" t="s">
        <v>40</v>
      </c>
    </row>
    <row r="2" spans="1:41">
      <c r="A2" s="11">
        <v>2026</v>
      </c>
      <c r="B2" s="11" t="s">
        <v>41</v>
      </c>
      <c r="C2" s="10" t="s">
        <v>42</v>
      </c>
      <c r="D2" s="10" t="s">
        <v>43</v>
      </c>
      <c r="E2" s="10" t="s">
        <v>42</v>
      </c>
      <c r="F2" s="13">
        <v>1241</v>
      </c>
      <c r="G2" s="13">
        <v>875.07999999999299</v>
      </c>
      <c r="H2" s="13">
        <v>802</v>
      </c>
      <c r="I2" s="13">
        <v>744.50999999999897</v>
      </c>
      <c r="J2" s="13">
        <v>2656</v>
      </c>
      <c r="K2" s="13">
        <v>2550.33</v>
      </c>
      <c r="L2" s="13">
        <v>1262</v>
      </c>
      <c r="M2" s="13">
        <v>1202.92</v>
      </c>
      <c r="N2" s="13">
        <v>95</v>
      </c>
      <c r="O2" s="13">
        <v>93.97</v>
      </c>
      <c r="P2" s="13"/>
      <c r="Q2" s="13"/>
      <c r="R2" s="4">
        <f>SUM(F2,H2,J2,L2,N2,P2)</f>
        <v>6056</v>
      </c>
      <c r="S2" s="4">
        <f t="shared" ref="S2" si="0">SUM(G2,I2,K2,M2,O2,Q2)</f>
        <v>5466.8099999999922</v>
      </c>
      <c r="T2" s="62">
        <v>338</v>
      </c>
      <c r="U2" s="13">
        <v>338</v>
      </c>
      <c r="V2" s="62">
        <v>32</v>
      </c>
      <c r="W2" s="13">
        <v>32</v>
      </c>
      <c r="X2" s="13">
        <v>0</v>
      </c>
      <c r="Y2" s="13">
        <v>0</v>
      </c>
      <c r="Z2" s="19">
        <f>SUM(T2,V2,X2)</f>
        <v>370</v>
      </c>
      <c r="AA2" s="19">
        <f t="shared" ref="AA2" si="1">SUM(U2,W2,Y2)</f>
        <v>370</v>
      </c>
      <c r="AB2" s="24"/>
      <c r="AC2" s="5">
        <f>R2+Z2</f>
        <v>6426</v>
      </c>
      <c r="AD2" s="5">
        <f t="shared" ref="AD2" si="2">S2+AA2</f>
        <v>5836.8099999999922</v>
      </c>
      <c r="AE2" s="6">
        <v>20426879.16</v>
      </c>
      <c r="AF2" s="6">
        <v>118151.93</v>
      </c>
      <c r="AG2" s="6">
        <v>244447.38</v>
      </c>
      <c r="AH2" s="6">
        <v>24386.22</v>
      </c>
      <c r="AI2" s="6">
        <v>5706703.2599999998</v>
      </c>
      <c r="AJ2" s="6">
        <v>2695519.28</v>
      </c>
      <c r="AK2" s="7">
        <f t="shared" ref="AK2:AK9" si="3">SUM(AE2:AJ2)</f>
        <v>29216087.229999997</v>
      </c>
      <c r="AL2" s="8">
        <v>1652153.16</v>
      </c>
      <c r="AM2" s="8">
        <v>252438</v>
      </c>
      <c r="AN2" s="9">
        <f t="shared" ref="AN2" si="4">SUM(AL2:AM2)</f>
        <v>1904591.16</v>
      </c>
      <c r="AO2" s="7">
        <f t="shared" ref="AO2" si="5">SUM(AN2,AK2)</f>
        <v>31120678.389999997</v>
      </c>
    </row>
    <row r="3" spans="1:41">
      <c r="A3" s="11"/>
      <c r="B3" s="11"/>
      <c r="C3" s="10"/>
      <c r="D3" s="10"/>
      <c r="E3" s="10"/>
      <c r="F3" s="13"/>
      <c r="G3" s="13"/>
      <c r="H3" s="13"/>
      <c r="I3" s="13"/>
      <c r="J3" s="13"/>
      <c r="K3" s="13"/>
      <c r="L3" s="13"/>
      <c r="M3" s="13"/>
      <c r="N3" s="13"/>
      <c r="O3" s="13"/>
      <c r="P3" s="13"/>
      <c r="Q3" s="13"/>
      <c r="R3" s="4">
        <f>SUM(F3,H3,J3,L3,N3,P3)</f>
        <v>0</v>
      </c>
      <c r="S3" s="4">
        <f t="shared" ref="S3:S9" si="6">SUM(G3,I3,K3,M3,O3,Q3)</f>
        <v>0</v>
      </c>
      <c r="T3" s="3"/>
      <c r="U3" s="13"/>
      <c r="V3" s="3"/>
      <c r="W3" s="13"/>
      <c r="X3" s="13"/>
      <c r="Y3" s="13"/>
      <c r="Z3" s="19">
        <f t="shared" ref="Z3:Z9" si="7">SUM(T3,V3,X3)</f>
        <v>0</v>
      </c>
      <c r="AA3" s="19">
        <f t="shared" ref="AA3:AA9" si="8">SUM(U3,W3,Y3)</f>
        <v>0</v>
      </c>
      <c r="AB3" s="24"/>
      <c r="AC3" s="5">
        <f t="shared" ref="AC3:AC9" si="9">R3+Z3</f>
        <v>0</v>
      </c>
      <c r="AD3" s="5">
        <f t="shared" ref="AD3:AD9" si="10">S3+AA3</f>
        <v>0</v>
      </c>
      <c r="AE3" s="6"/>
      <c r="AF3" s="6"/>
      <c r="AG3" s="6"/>
      <c r="AH3" s="6"/>
      <c r="AI3" s="6"/>
      <c r="AJ3" s="6"/>
      <c r="AK3" s="7">
        <f t="shared" si="3"/>
        <v>0</v>
      </c>
      <c r="AL3" s="8"/>
      <c r="AM3" s="8"/>
      <c r="AN3" s="9">
        <f t="shared" ref="AN3:AN9" si="11">SUM(AL3:AM3)</f>
        <v>0</v>
      </c>
      <c r="AO3" s="7">
        <f t="shared" ref="AO3:AO9" si="12">SUM(AN3,AK3)</f>
        <v>0</v>
      </c>
    </row>
    <row r="4" spans="1:41">
      <c r="A4" s="11"/>
      <c r="B4" s="11"/>
      <c r="C4" s="10"/>
      <c r="D4" s="10"/>
      <c r="E4" s="10"/>
      <c r="F4" s="13"/>
      <c r="G4" s="13"/>
      <c r="H4" s="13"/>
      <c r="I4" s="13"/>
      <c r="J4" s="13"/>
      <c r="K4" s="13"/>
      <c r="L4" s="13"/>
      <c r="M4" s="13"/>
      <c r="N4" s="13"/>
      <c r="O4" s="13"/>
      <c r="P4" s="13"/>
      <c r="Q4" s="13"/>
      <c r="R4" s="4">
        <f t="shared" ref="R4:R9" si="13">SUM(F4,H4,J4,L4,N4,P4)</f>
        <v>0</v>
      </c>
      <c r="S4" s="4">
        <f t="shared" si="6"/>
        <v>0</v>
      </c>
      <c r="T4" s="3"/>
      <c r="U4" s="13"/>
      <c r="V4" s="3"/>
      <c r="W4" s="13"/>
      <c r="X4" s="13"/>
      <c r="Y4" s="13"/>
      <c r="Z4" s="19">
        <f t="shared" si="7"/>
        <v>0</v>
      </c>
      <c r="AA4" s="19">
        <f t="shared" si="8"/>
        <v>0</v>
      </c>
      <c r="AB4" s="24"/>
      <c r="AC4" s="5">
        <f t="shared" si="9"/>
        <v>0</v>
      </c>
      <c r="AD4" s="5">
        <f t="shared" si="10"/>
        <v>0</v>
      </c>
      <c r="AE4" s="6"/>
      <c r="AF4" s="6"/>
      <c r="AG4" s="6"/>
      <c r="AH4" s="6"/>
      <c r="AI4" s="6"/>
      <c r="AJ4" s="6"/>
      <c r="AK4" s="7">
        <f t="shared" si="3"/>
        <v>0</v>
      </c>
      <c r="AL4" s="8"/>
      <c r="AM4" s="8"/>
      <c r="AN4" s="9">
        <f t="shared" si="11"/>
        <v>0</v>
      </c>
      <c r="AO4" s="7">
        <f t="shared" si="12"/>
        <v>0</v>
      </c>
    </row>
    <row r="5" spans="1:41">
      <c r="A5" s="11"/>
      <c r="B5" s="11"/>
      <c r="C5" s="10"/>
      <c r="D5" s="10"/>
      <c r="E5" s="10"/>
      <c r="F5" s="13"/>
      <c r="G5" s="13"/>
      <c r="H5" s="13"/>
      <c r="I5" s="13"/>
      <c r="J5" s="13"/>
      <c r="K5" s="13"/>
      <c r="L5" s="13"/>
      <c r="M5" s="13"/>
      <c r="N5" s="13"/>
      <c r="O5" s="13"/>
      <c r="P5" s="13"/>
      <c r="Q5" s="13"/>
      <c r="R5" s="4">
        <f t="shared" si="13"/>
        <v>0</v>
      </c>
      <c r="S5" s="4">
        <f t="shared" si="6"/>
        <v>0</v>
      </c>
      <c r="T5" s="3"/>
      <c r="U5" s="13"/>
      <c r="V5" s="3"/>
      <c r="W5" s="13"/>
      <c r="X5" s="13"/>
      <c r="Y5" s="13"/>
      <c r="Z5" s="19">
        <f t="shared" si="7"/>
        <v>0</v>
      </c>
      <c r="AA5" s="19">
        <f t="shared" si="8"/>
        <v>0</v>
      </c>
      <c r="AB5" s="24"/>
      <c r="AC5" s="5">
        <f t="shared" si="9"/>
        <v>0</v>
      </c>
      <c r="AD5" s="5">
        <f t="shared" si="10"/>
        <v>0</v>
      </c>
      <c r="AE5" s="6"/>
      <c r="AF5" s="6"/>
      <c r="AG5" s="6"/>
      <c r="AH5" s="6"/>
      <c r="AI5" s="6"/>
      <c r="AJ5" s="6"/>
      <c r="AK5" s="7">
        <f t="shared" si="3"/>
        <v>0</v>
      </c>
      <c r="AL5" s="8"/>
      <c r="AM5" s="8"/>
      <c r="AN5" s="9">
        <f t="shared" si="11"/>
        <v>0</v>
      </c>
      <c r="AO5" s="7">
        <f t="shared" si="12"/>
        <v>0</v>
      </c>
    </row>
    <row r="6" spans="1:41">
      <c r="A6" s="11"/>
      <c r="B6" s="11"/>
      <c r="C6" s="10"/>
      <c r="D6" s="10"/>
      <c r="E6" s="10"/>
      <c r="F6" s="13"/>
      <c r="G6" s="13"/>
      <c r="H6" s="13"/>
      <c r="I6" s="13"/>
      <c r="J6" s="13"/>
      <c r="K6" s="13"/>
      <c r="L6" s="13"/>
      <c r="M6" s="13"/>
      <c r="N6" s="13"/>
      <c r="O6" s="13"/>
      <c r="P6" s="13"/>
      <c r="Q6" s="13"/>
      <c r="R6" s="4">
        <f t="shared" si="13"/>
        <v>0</v>
      </c>
      <c r="S6" s="4">
        <f t="shared" si="6"/>
        <v>0</v>
      </c>
      <c r="T6" s="3"/>
      <c r="U6" s="13"/>
      <c r="V6" s="3"/>
      <c r="W6" s="13"/>
      <c r="X6" s="13"/>
      <c r="Y6" s="13"/>
      <c r="Z6" s="19">
        <f t="shared" si="7"/>
        <v>0</v>
      </c>
      <c r="AA6" s="19">
        <f t="shared" si="8"/>
        <v>0</v>
      </c>
      <c r="AB6" s="24"/>
      <c r="AC6" s="5">
        <f t="shared" si="9"/>
        <v>0</v>
      </c>
      <c r="AD6" s="5">
        <f t="shared" si="10"/>
        <v>0</v>
      </c>
      <c r="AE6" s="6"/>
      <c r="AF6" s="6"/>
      <c r="AG6" s="6"/>
      <c r="AH6" s="6"/>
      <c r="AI6" s="6"/>
      <c r="AJ6" s="6"/>
      <c r="AK6" s="7">
        <f t="shared" si="3"/>
        <v>0</v>
      </c>
      <c r="AL6" s="8"/>
      <c r="AM6" s="8"/>
      <c r="AN6" s="9">
        <f t="shared" si="11"/>
        <v>0</v>
      </c>
      <c r="AO6" s="7">
        <f t="shared" si="12"/>
        <v>0</v>
      </c>
    </row>
    <row r="7" spans="1:41">
      <c r="A7" s="11"/>
      <c r="B7" s="11"/>
      <c r="C7" s="10"/>
      <c r="D7" s="10"/>
      <c r="E7" s="10"/>
      <c r="F7" s="13"/>
      <c r="G7" s="13"/>
      <c r="H7" s="13"/>
      <c r="I7" s="13"/>
      <c r="J7" s="13"/>
      <c r="K7" s="13"/>
      <c r="L7" s="13"/>
      <c r="M7" s="13"/>
      <c r="N7" s="13"/>
      <c r="O7" s="13"/>
      <c r="P7" s="13"/>
      <c r="Q7" s="13"/>
      <c r="R7" s="4">
        <f t="shared" si="13"/>
        <v>0</v>
      </c>
      <c r="S7" s="4">
        <f t="shared" si="6"/>
        <v>0</v>
      </c>
      <c r="T7" s="3"/>
      <c r="U7" s="13"/>
      <c r="V7" s="3"/>
      <c r="W7" s="13"/>
      <c r="X7" s="13"/>
      <c r="Y7" s="13"/>
      <c r="Z7" s="19">
        <f t="shared" si="7"/>
        <v>0</v>
      </c>
      <c r="AA7" s="19">
        <f t="shared" si="8"/>
        <v>0</v>
      </c>
      <c r="AB7" s="24"/>
      <c r="AC7" s="5">
        <f t="shared" si="9"/>
        <v>0</v>
      </c>
      <c r="AD7" s="5">
        <f t="shared" si="10"/>
        <v>0</v>
      </c>
      <c r="AE7" s="6"/>
      <c r="AF7" s="6"/>
      <c r="AG7" s="6"/>
      <c r="AH7" s="6"/>
      <c r="AI7" s="6"/>
      <c r="AJ7" s="6"/>
      <c r="AK7" s="7">
        <f t="shared" si="3"/>
        <v>0</v>
      </c>
      <c r="AL7" s="8"/>
      <c r="AM7" s="8"/>
      <c r="AN7" s="9">
        <f t="shared" si="11"/>
        <v>0</v>
      </c>
      <c r="AO7" s="7">
        <f t="shared" si="12"/>
        <v>0</v>
      </c>
    </row>
    <row r="8" spans="1:41">
      <c r="A8" s="11"/>
      <c r="B8" s="11"/>
      <c r="C8" s="10"/>
      <c r="D8" s="10"/>
      <c r="E8" s="10"/>
      <c r="F8" s="13"/>
      <c r="G8" s="13"/>
      <c r="H8" s="13"/>
      <c r="I8" s="13"/>
      <c r="J8" s="13"/>
      <c r="K8" s="13"/>
      <c r="L8" s="13"/>
      <c r="M8" s="13"/>
      <c r="N8" s="13"/>
      <c r="O8" s="13"/>
      <c r="P8" s="13"/>
      <c r="Q8" s="13"/>
      <c r="R8" s="4">
        <f t="shared" si="13"/>
        <v>0</v>
      </c>
      <c r="S8" s="4">
        <f t="shared" si="6"/>
        <v>0</v>
      </c>
      <c r="T8" s="3"/>
      <c r="U8" s="13"/>
      <c r="V8" s="3"/>
      <c r="W8" s="13"/>
      <c r="X8" s="13"/>
      <c r="Y8" s="13"/>
      <c r="Z8" s="19">
        <f t="shared" si="7"/>
        <v>0</v>
      </c>
      <c r="AA8" s="19">
        <f t="shared" si="8"/>
        <v>0</v>
      </c>
      <c r="AB8" s="24"/>
      <c r="AC8" s="5">
        <f t="shared" si="9"/>
        <v>0</v>
      </c>
      <c r="AD8" s="5">
        <f t="shared" si="10"/>
        <v>0</v>
      </c>
      <c r="AE8" s="6"/>
      <c r="AF8" s="6"/>
      <c r="AG8" s="6"/>
      <c r="AH8" s="6"/>
      <c r="AI8" s="6"/>
      <c r="AJ8" s="6"/>
      <c r="AK8" s="7">
        <f t="shared" si="3"/>
        <v>0</v>
      </c>
      <c r="AL8" s="8"/>
      <c r="AM8" s="8"/>
      <c r="AN8" s="9">
        <f t="shared" si="11"/>
        <v>0</v>
      </c>
      <c r="AO8" s="7">
        <f t="shared" si="12"/>
        <v>0</v>
      </c>
    </row>
    <row r="9" spans="1:41">
      <c r="A9" s="11"/>
      <c r="B9" s="11"/>
      <c r="C9" s="10"/>
      <c r="D9" s="10"/>
      <c r="E9" s="10"/>
      <c r="F9" s="13"/>
      <c r="G9" s="13"/>
      <c r="H9" s="13"/>
      <c r="I9" s="13"/>
      <c r="J9" s="13"/>
      <c r="K9" s="13"/>
      <c r="L9" s="13"/>
      <c r="M9" s="13"/>
      <c r="N9" s="13"/>
      <c r="O9" s="13"/>
      <c r="P9" s="13"/>
      <c r="Q9" s="13"/>
      <c r="R9" s="4">
        <f t="shared" si="13"/>
        <v>0</v>
      </c>
      <c r="S9" s="4">
        <f t="shared" si="6"/>
        <v>0</v>
      </c>
      <c r="T9" s="3"/>
      <c r="U9" s="13"/>
      <c r="V9" s="3"/>
      <c r="W9" s="13"/>
      <c r="X9" s="13"/>
      <c r="Y9" s="13"/>
      <c r="Z9" s="19">
        <f t="shared" si="7"/>
        <v>0</v>
      </c>
      <c r="AA9" s="19">
        <f t="shared" si="8"/>
        <v>0</v>
      </c>
      <c r="AB9" s="24"/>
      <c r="AC9" s="5">
        <f t="shared" si="9"/>
        <v>0</v>
      </c>
      <c r="AD9" s="5">
        <f t="shared" si="10"/>
        <v>0</v>
      </c>
      <c r="AE9" s="6"/>
      <c r="AF9" s="6"/>
      <c r="AG9" s="6"/>
      <c r="AH9" s="6"/>
      <c r="AI9" s="6"/>
      <c r="AJ9" s="6"/>
      <c r="AK9" s="7">
        <f t="shared" si="3"/>
        <v>0</v>
      </c>
      <c r="AL9" s="8"/>
      <c r="AM9" s="8"/>
      <c r="AN9" s="9">
        <f t="shared" si="11"/>
        <v>0</v>
      </c>
      <c r="AO9" s="7">
        <f t="shared" si="12"/>
        <v>0</v>
      </c>
    </row>
    <row r="10" spans="1:41">
      <c r="A10" s="11"/>
      <c r="B10" s="11"/>
      <c r="C10" s="10"/>
      <c r="D10" s="10"/>
      <c r="E10" s="10"/>
      <c r="F10" s="13"/>
      <c r="G10" s="13"/>
      <c r="H10" s="13"/>
      <c r="I10" s="13"/>
      <c r="J10" s="13"/>
      <c r="K10" s="13"/>
      <c r="L10" s="13"/>
      <c r="M10" s="13"/>
      <c r="N10" s="13"/>
      <c r="O10" s="13"/>
      <c r="P10" s="13"/>
      <c r="Q10" s="13"/>
      <c r="R10" s="4">
        <f t="shared" ref="R10:R25" si="14">SUM(F10,H10,J10,L10,N10,P10)</f>
        <v>0</v>
      </c>
      <c r="S10" s="4">
        <f t="shared" ref="S10:S25" si="15">SUM(G10,I10,K10,M10,O10,Q10)</f>
        <v>0</v>
      </c>
      <c r="T10" s="3"/>
      <c r="U10" s="13"/>
      <c r="V10" s="3"/>
      <c r="W10" s="13"/>
      <c r="X10" s="13"/>
      <c r="Y10" s="13"/>
      <c r="Z10" s="19">
        <f t="shared" ref="Z10" si="16">SUM(T10,V10,X10)</f>
        <v>0</v>
      </c>
      <c r="AA10" s="19">
        <f t="shared" ref="AA10" si="17">SUM(U10,W10,Y10)</f>
        <v>0</v>
      </c>
      <c r="AB10" s="24"/>
      <c r="AC10" s="5">
        <f t="shared" ref="AC10" si="18">R10+Z10</f>
        <v>0</v>
      </c>
      <c r="AD10" s="5">
        <f t="shared" ref="AD10" si="19">S10+AA10</f>
        <v>0</v>
      </c>
      <c r="AE10" s="6"/>
      <c r="AF10" s="6"/>
      <c r="AG10" s="6"/>
      <c r="AH10" s="6"/>
      <c r="AI10" s="6"/>
      <c r="AJ10" s="6"/>
      <c r="AK10" s="7">
        <f t="shared" ref="AK10" si="20">SUM(AE10:AJ10)</f>
        <v>0</v>
      </c>
      <c r="AL10" s="8"/>
      <c r="AM10" s="8"/>
      <c r="AN10" s="9">
        <f t="shared" ref="AN10" si="21">SUM(AL10:AM10)</f>
        <v>0</v>
      </c>
      <c r="AO10" s="7">
        <f t="shared" ref="AO10" si="22">SUM(AN10,AK10)</f>
        <v>0</v>
      </c>
    </row>
    <row r="11" spans="1:41">
      <c r="A11" s="11"/>
      <c r="B11" s="11"/>
      <c r="C11" s="10"/>
      <c r="D11" s="10"/>
      <c r="E11" s="10"/>
      <c r="F11" s="13"/>
      <c r="G11" s="13"/>
      <c r="H11" s="13"/>
      <c r="I11" s="13"/>
      <c r="J11" s="13"/>
      <c r="K11" s="13"/>
      <c r="L11" s="13"/>
      <c r="M11" s="13"/>
      <c r="N11" s="13"/>
      <c r="O11" s="13"/>
      <c r="P11" s="13"/>
      <c r="Q11" s="13"/>
      <c r="R11" s="4">
        <f t="shared" si="14"/>
        <v>0</v>
      </c>
      <c r="S11" s="4">
        <f t="shared" si="15"/>
        <v>0</v>
      </c>
      <c r="T11" s="3"/>
      <c r="U11" s="13"/>
      <c r="V11" s="3"/>
      <c r="W11" s="13"/>
      <c r="X11" s="13"/>
      <c r="Y11" s="13"/>
      <c r="Z11" s="19">
        <f t="shared" ref="Z11:Z25" si="23">SUM(T11,V11,X11)</f>
        <v>0</v>
      </c>
      <c r="AA11" s="19">
        <f t="shared" ref="AA11:AA25" si="24">SUM(U11,W11,Y11)</f>
        <v>0</v>
      </c>
      <c r="AB11" s="24"/>
      <c r="AC11" s="5">
        <f t="shared" ref="AC11:AC25" si="25">R11+Z11</f>
        <v>0</v>
      </c>
      <c r="AD11" s="5">
        <f t="shared" ref="AD11:AD25" si="26">S11+AA11</f>
        <v>0</v>
      </c>
      <c r="AE11" s="6"/>
      <c r="AF11" s="6"/>
      <c r="AG11" s="6"/>
      <c r="AH11" s="6"/>
      <c r="AI11" s="6"/>
      <c r="AJ11" s="6"/>
      <c r="AK11" s="7">
        <f t="shared" ref="AK11:AK25" si="27">SUM(AE11:AJ11)</f>
        <v>0</v>
      </c>
      <c r="AL11" s="8"/>
      <c r="AM11" s="8"/>
      <c r="AN11" s="9">
        <f t="shared" ref="AN11:AN25" si="28">SUM(AL11:AM11)</f>
        <v>0</v>
      </c>
      <c r="AO11" s="7">
        <f t="shared" ref="AO11:AO25" si="29">SUM(AN11,AK11)</f>
        <v>0</v>
      </c>
    </row>
    <row r="12" spans="1:41">
      <c r="A12" s="11"/>
      <c r="B12" s="11"/>
      <c r="C12" s="10"/>
      <c r="D12" s="10"/>
      <c r="E12" s="10"/>
      <c r="F12" s="13"/>
      <c r="G12" s="13"/>
      <c r="H12" s="13"/>
      <c r="I12" s="13"/>
      <c r="J12" s="13"/>
      <c r="K12" s="13"/>
      <c r="L12" s="13"/>
      <c r="M12" s="13"/>
      <c r="N12" s="13"/>
      <c r="O12" s="13"/>
      <c r="P12" s="13"/>
      <c r="Q12" s="13"/>
      <c r="R12" s="4">
        <f t="shared" si="14"/>
        <v>0</v>
      </c>
      <c r="S12" s="4">
        <f t="shared" si="15"/>
        <v>0</v>
      </c>
      <c r="T12" s="3"/>
      <c r="U12" s="13"/>
      <c r="V12" s="3"/>
      <c r="W12" s="13"/>
      <c r="X12" s="13"/>
      <c r="Y12" s="13"/>
      <c r="Z12" s="19">
        <f t="shared" si="23"/>
        <v>0</v>
      </c>
      <c r="AA12" s="19">
        <f t="shared" si="24"/>
        <v>0</v>
      </c>
      <c r="AB12" s="24"/>
      <c r="AC12" s="5">
        <f t="shared" si="25"/>
        <v>0</v>
      </c>
      <c r="AD12" s="5">
        <f t="shared" si="26"/>
        <v>0</v>
      </c>
      <c r="AE12" s="6"/>
      <c r="AF12" s="6"/>
      <c r="AG12" s="6"/>
      <c r="AH12" s="6"/>
      <c r="AI12" s="6"/>
      <c r="AJ12" s="6"/>
      <c r="AK12" s="7">
        <f t="shared" si="27"/>
        <v>0</v>
      </c>
      <c r="AL12" s="8"/>
      <c r="AM12" s="8"/>
      <c r="AN12" s="9">
        <f t="shared" si="28"/>
        <v>0</v>
      </c>
      <c r="AO12" s="7">
        <f t="shared" si="29"/>
        <v>0</v>
      </c>
    </row>
    <row r="13" spans="1:41">
      <c r="A13" s="11"/>
      <c r="B13" s="11"/>
      <c r="C13" s="10"/>
      <c r="D13" s="10"/>
      <c r="E13" s="10"/>
      <c r="F13" s="13"/>
      <c r="G13" s="13"/>
      <c r="H13" s="13"/>
      <c r="I13" s="13"/>
      <c r="J13" s="13"/>
      <c r="K13" s="13"/>
      <c r="L13" s="13"/>
      <c r="M13" s="13"/>
      <c r="N13" s="13"/>
      <c r="O13" s="13"/>
      <c r="P13" s="13"/>
      <c r="Q13" s="13"/>
      <c r="R13" s="4">
        <f t="shared" si="14"/>
        <v>0</v>
      </c>
      <c r="S13" s="4">
        <f t="shared" si="15"/>
        <v>0</v>
      </c>
      <c r="T13" s="3"/>
      <c r="U13" s="13"/>
      <c r="V13" s="3"/>
      <c r="W13" s="13"/>
      <c r="X13" s="13"/>
      <c r="Y13" s="13"/>
      <c r="Z13" s="19">
        <f t="shared" si="23"/>
        <v>0</v>
      </c>
      <c r="AA13" s="19">
        <f t="shared" si="24"/>
        <v>0</v>
      </c>
      <c r="AB13" s="24"/>
      <c r="AC13" s="5">
        <f t="shared" si="25"/>
        <v>0</v>
      </c>
      <c r="AD13" s="5">
        <f t="shared" si="26"/>
        <v>0</v>
      </c>
      <c r="AE13" s="6"/>
      <c r="AF13" s="6"/>
      <c r="AG13" s="6"/>
      <c r="AH13" s="6"/>
      <c r="AI13" s="6"/>
      <c r="AJ13" s="6"/>
      <c r="AK13" s="7">
        <f t="shared" si="27"/>
        <v>0</v>
      </c>
      <c r="AL13" s="8"/>
      <c r="AM13" s="8"/>
      <c r="AN13" s="9">
        <f t="shared" si="28"/>
        <v>0</v>
      </c>
      <c r="AO13" s="7">
        <f t="shared" si="29"/>
        <v>0</v>
      </c>
    </row>
    <row r="14" spans="1:41">
      <c r="A14" s="11"/>
      <c r="B14" s="11"/>
      <c r="C14" s="10"/>
      <c r="D14" s="10"/>
      <c r="E14" s="10"/>
      <c r="F14" s="13"/>
      <c r="G14" s="13"/>
      <c r="H14" s="13"/>
      <c r="I14" s="13"/>
      <c r="J14" s="13"/>
      <c r="K14" s="13"/>
      <c r="L14" s="13"/>
      <c r="M14" s="13"/>
      <c r="N14" s="13"/>
      <c r="O14" s="13"/>
      <c r="P14" s="13"/>
      <c r="Q14" s="13"/>
      <c r="R14" s="4">
        <f t="shared" si="14"/>
        <v>0</v>
      </c>
      <c r="S14" s="4">
        <f t="shared" si="15"/>
        <v>0</v>
      </c>
      <c r="T14" s="3"/>
      <c r="U14" s="13"/>
      <c r="V14" s="3"/>
      <c r="W14" s="13"/>
      <c r="X14" s="13"/>
      <c r="Y14" s="13"/>
      <c r="Z14" s="19">
        <f t="shared" si="23"/>
        <v>0</v>
      </c>
      <c r="AA14" s="19">
        <f t="shared" si="24"/>
        <v>0</v>
      </c>
      <c r="AB14" s="24"/>
      <c r="AC14" s="5">
        <f t="shared" si="25"/>
        <v>0</v>
      </c>
      <c r="AD14" s="5">
        <f t="shared" si="26"/>
        <v>0</v>
      </c>
      <c r="AE14" s="6"/>
      <c r="AF14" s="6"/>
      <c r="AG14" s="6"/>
      <c r="AH14" s="6"/>
      <c r="AI14" s="6"/>
      <c r="AJ14" s="6"/>
      <c r="AK14" s="7">
        <f t="shared" si="27"/>
        <v>0</v>
      </c>
      <c r="AL14" s="8"/>
      <c r="AM14" s="8"/>
      <c r="AN14" s="9">
        <f t="shared" si="28"/>
        <v>0</v>
      </c>
      <c r="AO14" s="7">
        <f t="shared" si="29"/>
        <v>0</v>
      </c>
    </row>
    <row r="15" spans="1:41">
      <c r="A15" s="11"/>
      <c r="B15" s="11"/>
      <c r="C15" s="10"/>
      <c r="D15" s="10"/>
      <c r="E15" s="10"/>
      <c r="F15" s="13"/>
      <c r="G15" s="13"/>
      <c r="H15" s="13"/>
      <c r="I15" s="13"/>
      <c r="J15" s="13"/>
      <c r="K15" s="13"/>
      <c r="L15" s="13"/>
      <c r="M15" s="13"/>
      <c r="N15" s="13"/>
      <c r="O15" s="13"/>
      <c r="P15" s="13"/>
      <c r="Q15" s="13"/>
      <c r="R15" s="4">
        <f t="shared" si="14"/>
        <v>0</v>
      </c>
      <c r="S15" s="4">
        <f t="shared" si="15"/>
        <v>0</v>
      </c>
      <c r="T15" s="3"/>
      <c r="U15" s="13"/>
      <c r="V15" s="3"/>
      <c r="W15" s="13"/>
      <c r="X15" s="13"/>
      <c r="Y15" s="13"/>
      <c r="Z15" s="19">
        <f t="shared" si="23"/>
        <v>0</v>
      </c>
      <c r="AA15" s="19">
        <f t="shared" si="24"/>
        <v>0</v>
      </c>
      <c r="AB15" s="24"/>
      <c r="AC15" s="5">
        <f t="shared" si="25"/>
        <v>0</v>
      </c>
      <c r="AD15" s="5">
        <f t="shared" si="26"/>
        <v>0</v>
      </c>
      <c r="AE15" s="6"/>
      <c r="AF15" s="6"/>
      <c r="AG15" s="6"/>
      <c r="AH15" s="6"/>
      <c r="AI15" s="6"/>
      <c r="AJ15" s="6"/>
      <c r="AK15" s="7">
        <f t="shared" si="27"/>
        <v>0</v>
      </c>
      <c r="AL15" s="8"/>
      <c r="AM15" s="8"/>
      <c r="AN15" s="9">
        <f t="shared" si="28"/>
        <v>0</v>
      </c>
      <c r="AO15" s="7">
        <f t="shared" si="29"/>
        <v>0</v>
      </c>
    </row>
    <row r="16" spans="1:41">
      <c r="A16" s="11"/>
      <c r="B16" s="11"/>
      <c r="C16" s="10"/>
      <c r="D16" s="10"/>
      <c r="E16" s="10"/>
      <c r="F16" s="13"/>
      <c r="G16" s="13"/>
      <c r="H16" s="13"/>
      <c r="I16" s="13"/>
      <c r="J16" s="13"/>
      <c r="K16" s="13"/>
      <c r="L16" s="13"/>
      <c r="M16" s="13"/>
      <c r="N16" s="13"/>
      <c r="O16" s="13"/>
      <c r="P16" s="13"/>
      <c r="Q16" s="13"/>
      <c r="R16" s="4">
        <f t="shared" si="14"/>
        <v>0</v>
      </c>
      <c r="S16" s="4">
        <f t="shared" si="15"/>
        <v>0</v>
      </c>
      <c r="T16" s="3"/>
      <c r="U16" s="13"/>
      <c r="V16" s="3"/>
      <c r="W16" s="13"/>
      <c r="X16" s="13"/>
      <c r="Y16" s="13"/>
      <c r="Z16" s="19">
        <f t="shared" si="23"/>
        <v>0</v>
      </c>
      <c r="AA16" s="19">
        <f t="shared" si="24"/>
        <v>0</v>
      </c>
      <c r="AB16" s="24"/>
      <c r="AC16" s="5">
        <f t="shared" si="25"/>
        <v>0</v>
      </c>
      <c r="AD16" s="5">
        <f t="shared" si="26"/>
        <v>0</v>
      </c>
      <c r="AE16" s="6"/>
      <c r="AF16" s="6"/>
      <c r="AG16" s="6"/>
      <c r="AH16" s="6"/>
      <c r="AI16" s="6"/>
      <c r="AJ16" s="6"/>
      <c r="AK16" s="7">
        <f t="shared" si="27"/>
        <v>0</v>
      </c>
      <c r="AL16" s="8"/>
      <c r="AM16" s="8"/>
      <c r="AN16" s="9">
        <f t="shared" si="28"/>
        <v>0</v>
      </c>
      <c r="AO16" s="7">
        <f t="shared" si="29"/>
        <v>0</v>
      </c>
    </row>
    <row r="17" spans="1:41">
      <c r="A17" s="11"/>
      <c r="B17" s="11"/>
      <c r="C17" s="10"/>
      <c r="D17" s="10"/>
      <c r="E17" s="10"/>
      <c r="F17" s="13"/>
      <c r="G17" s="13"/>
      <c r="H17" s="13"/>
      <c r="I17" s="13"/>
      <c r="J17" s="13"/>
      <c r="K17" s="13"/>
      <c r="L17" s="13"/>
      <c r="M17" s="13"/>
      <c r="N17" s="13"/>
      <c r="O17" s="13"/>
      <c r="P17" s="13"/>
      <c r="Q17" s="13"/>
      <c r="R17" s="4">
        <f t="shared" si="14"/>
        <v>0</v>
      </c>
      <c r="S17" s="4">
        <f t="shared" si="15"/>
        <v>0</v>
      </c>
      <c r="T17" s="3"/>
      <c r="U17" s="13"/>
      <c r="V17" s="3"/>
      <c r="W17" s="13"/>
      <c r="X17" s="13"/>
      <c r="Y17" s="13"/>
      <c r="Z17" s="19">
        <f t="shared" si="23"/>
        <v>0</v>
      </c>
      <c r="AA17" s="19">
        <f t="shared" si="24"/>
        <v>0</v>
      </c>
      <c r="AB17" s="24"/>
      <c r="AC17" s="5">
        <f t="shared" si="25"/>
        <v>0</v>
      </c>
      <c r="AD17" s="5">
        <f t="shared" si="26"/>
        <v>0</v>
      </c>
      <c r="AE17" s="6"/>
      <c r="AF17" s="6"/>
      <c r="AG17" s="6"/>
      <c r="AH17" s="6"/>
      <c r="AI17" s="6"/>
      <c r="AJ17" s="6"/>
      <c r="AK17" s="7">
        <f t="shared" si="27"/>
        <v>0</v>
      </c>
      <c r="AL17" s="8"/>
      <c r="AM17" s="8"/>
      <c r="AN17" s="9">
        <f t="shared" si="28"/>
        <v>0</v>
      </c>
      <c r="AO17" s="7">
        <f t="shared" si="29"/>
        <v>0</v>
      </c>
    </row>
    <row r="18" spans="1:41">
      <c r="A18" s="11"/>
      <c r="B18" s="11"/>
      <c r="C18" s="10"/>
      <c r="D18" s="10"/>
      <c r="E18" s="10"/>
      <c r="F18" s="13"/>
      <c r="G18" s="13"/>
      <c r="H18" s="13"/>
      <c r="I18" s="13"/>
      <c r="J18" s="13"/>
      <c r="K18" s="13"/>
      <c r="L18" s="13"/>
      <c r="M18" s="13"/>
      <c r="N18" s="13"/>
      <c r="O18" s="13"/>
      <c r="P18" s="13"/>
      <c r="Q18" s="13"/>
      <c r="R18" s="4">
        <f t="shared" si="14"/>
        <v>0</v>
      </c>
      <c r="S18" s="4">
        <f t="shared" si="15"/>
        <v>0</v>
      </c>
      <c r="T18" s="3"/>
      <c r="U18" s="13"/>
      <c r="V18" s="3"/>
      <c r="W18" s="13"/>
      <c r="X18" s="13"/>
      <c r="Y18" s="13"/>
      <c r="Z18" s="19">
        <f t="shared" si="23"/>
        <v>0</v>
      </c>
      <c r="AA18" s="19">
        <f t="shared" si="24"/>
        <v>0</v>
      </c>
      <c r="AB18" s="24"/>
      <c r="AC18" s="5">
        <f t="shared" si="25"/>
        <v>0</v>
      </c>
      <c r="AD18" s="5">
        <f t="shared" si="26"/>
        <v>0</v>
      </c>
      <c r="AE18" s="6"/>
      <c r="AF18" s="6"/>
      <c r="AG18" s="6"/>
      <c r="AH18" s="6"/>
      <c r="AI18" s="6"/>
      <c r="AJ18" s="6"/>
      <c r="AK18" s="7">
        <f t="shared" si="27"/>
        <v>0</v>
      </c>
      <c r="AL18" s="8"/>
      <c r="AM18" s="8"/>
      <c r="AN18" s="9">
        <f t="shared" si="28"/>
        <v>0</v>
      </c>
      <c r="AO18" s="7">
        <f t="shared" si="29"/>
        <v>0</v>
      </c>
    </row>
    <row r="19" spans="1:41">
      <c r="A19" s="11"/>
      <c r="B19" s="11"/>
      <c r="C19" s="10"/>
      <c r="D19" s="10"/>
      <c r="E19" s="10"/>
      <c r="F19" s="13"/>
      <c r="G19" s="13"/>
      <c r="H19" s="13"/>
      <c r="I19" s="13"/>
      <c r="J19" s="13"/>
      <c r="K19" s="13"/>
      <c r="L19" s="13"/>
      <c r="M19" s="13"/>
      <c r="N19" s="13"/>
      <c r="O19" s="13"/>
      <c r="P19" s="13"/>
      <c r="Q19" s="13"/>
      <c r="R19" s="4">
        <f t="shared" si="14"/>
        <v>0</v>
      </c>
      <c r="S19" s="4">
        <f t="shared" si="15"/>
        <v>0</v>
      </c>
      <c r="T19" s="3"/>
      <c r="U19" s="13"/>
      <c r="V19" s="3"/>
      <c r="W19" s="13"/>
      <c r="X19" s="13"/>
      <c r="Y19" s="13"/>
      <c r="Z19" s="19">
        <f t="shared" si="23"/>
        <v>0</v>
      </c>
      <c r="AA19" s="19">
        <f t="shared" si="24"/>
        <v>0</v>
      </c>
      <c r="AB19" s="24"/>
      <c r="AC19" s="5">
        <f t="shared" si="25"/>
        <v>0</v>
      </c>
      <c r="AD19" s="5">
        <f t="shared" si="26"/>
        <v>0</v>
      </c>
      <c r="AE19" s="6"/>
      <c r="AF19" s="6"/>
      <c r="AG19" s="6"/>
      <c r="AH19" s="6"/>
      <c r="AI19" s="6"/>
      <c r="AJ19" s="6"/>
      <c r="AK19" s="7">
        <f t="shared" si="27"/>
        <v>0</v>
      </c>
      <c r="AL19" s="8"/>
      <c r="AM19" s="8"/>
      <c r="AN19" s="9">
        <f t="shared" si="28"/>
        <v>0</v>
      </c>
      <c r="AO19" s="7">
        <f t="shared" si="29"/>
        <v>0</v>
      </c>
    </row>
    <row r="20" spans="1:41">
      <c r="A20" s="11"/>
      <c r="B20" s="11"/>
      <c r="C20" s="10"/>
      <c r="D20" s="10"/>
      <c r="E20" s="10"/>
      <c r="F20" s="13"/>
      <c r="G20" s="13"/>
      <c r="H20" s="13"/>
      <c r="I20" s="13"/>
      <c r="J20" s="13"/>
      <c r="K20" s="13"/>
      <c r="L20" s="13"/>
      <c r="M20" s="13"/>
      <c r="N20" s="13"/>
      <c r="O20" s="13"/>
      <c r="P20" s="13"/>
      <c r="Q20" s="13"/>
      <c r="R20" s="4">
        <f t="shared" si="14"/>
        <v>0</v>
      </c>
      <c r="S20" s="4">
        <f t="shared" si="15"/>
        <v>0</v>
      </c>
      <c r="T20" s="3"/>
      <c r="U20" s="13"/>
      <c r="V20" s="3"/>
      <c r="W20" s="13"/>
      <c r="X20" s="13"/>
      <c r="Y20" s="13"/>
      <c r="Z20" s="19">
        <f t="shared" si="23"/>
        <v>0</v>
      </c>
      <c r="AA20" s="19">
        <f t="shared" si="24"/>
        <v>0</v>
      </c>
      <c r="AB20" s="24"/>
      <c r="AC20" s="5">
        <f t="shared" si="25"/>
        <v>0</v>
      </c>
      <c r="AD20" s="5">
        <f t="shared" si="26"/>
        <v>0</v>
      </c>
      <c r="AE20" s="6"/>
      <c r="AF20" s="6"/>
      <c r="AG20" s="6"/>
      <c r="AH20" s="6"/>
      <c r="AI20" s="6"/>
      <c r="AJ20" s="6"/>
      <c r="AK20" s="7">
        <f t="shared" si="27"/>
        <v>0</v>
      </c>
      <c r="AL20" s="8"/>
      <c r="AM20" s="8"/>
      <c r="AN20" s="9">
        <f t="shared" si="28"/>
        <v>0</v>
      </c>
      <c r="AO20" s="7">
        <f t="shared" si="29"/>
        <v>0</v>
      </c>
    </row>
    <row r="21" spans="1:41">
      <c r="A21" s="11"/>
      <c r="B21" s="11"/>
      <c r="C21" s="10"/>
      <c r="D21" s="10"/>
      <c r="E21" s="10"/>
      <c r="F21" s="13"/>
      <c r="G21" s="13"/>
      <c r="H21" s="13"/>
      <c r="I21" s="13"/>
      <c r="J21" s="13"/>
      <c r="K21" s="13"/>
      <c r="L21" s="13"/>
      <c r="M21" s="13"/>
      <c r="N21" s="13"/>
      <c r="O21" s="13"/>
      <c r="P21" s="13"/>
      <c r="Q21" s="13"/>
      <c r="R21" s="4">
        <f t="shared" si="14"/>
        <v>0</v>
      </c>
      <c r="S21" s="4">
        <f t="shared" si="15"/>
        <v>0</v>
      </c>
      <c r="T21" s="3"/>
      <c r="U21" s="13"/>
      <c r="V21" s="3"/>
      <c r="W21" s="13"/>
      <c r="X21" s="13"/>
      <c r="Y21" s="13"/>
      <c r="Z21" s="19">
        <f t="shared" si="23"/>
        <v>0</v>
      </c>
      <c r="AA21" s="19">
        <f t="shared" si="24"/>
        <v>0</v>
      </c>
      <c r="AB21" s="24"/>
      <c r="AC21" s="5">
        <f t="shared" si="25"/>
        <v>0</v>
      </c>
      <c r="AD21" s="5">
        <f t="shared" si="26"/>
        <v>0</v>
      </c>
      <c r="AE21" s="6"/>
      <c r="AF21" s="6"/>
      <c r="AG21" s="6"/>
      <c r="AH21" s="6"/>
      <c r="AI21" s="6"/>
      <c r="AJ21" s="6"/>
      <c r="AK21" s="7">
        <f t="shared" si="27"/>
        <v>0</v>
      </c>
      <c r="AL21" s="8"/>
      <c r="AM21" s="8"/>
      <c r="AN21" s="9">
        <f t="shared" si="28"/>
        <v>0</v>
      </c>
      <c r="AO21" s="7">
        <f t="shared" si="29"/>
        <v>0</v>
      </c>
    </row>
    <row r="22" spans="1:41">
      <c r="A22" s="11"/>
      <c r="B22" s="11"/>
      <c r="C22" s="10"/>
      <c r="D22" s="10"/>
      <c r="E22" s="10"/>
      <c r="F22" s="13"/>
      <c r="G22" s="13"/>
      <c r="H22" s="13"/>
      <c r="I22" s="13"/>
      <c r="J22" s="13"/>
      <c r="K22" s="13"/>
      <c r="L22" s="13"/>
      <c r="M22" s="13"/>
      <c r="N22" s="13"/>
      <c r="O22" s="13"/>
      <c r="P22" s="13"/>
      <c r="Q22" s="13"/>
      <c r="R22" s="4">
        <f t="shared" si="14"/>
        <v>0</v>
      </c>
      <c r="S22" s="4">
        <f t="shared" si="15"/>
        <v>0</v>
      </c>
      <c r="T22" s="3"/>
      <c r="U22" s="13"/>
      <c r="V22" s="3"/>
      <c r="W22" s="13"/>
      <c r="X22" s="13"/>
      <c r="Y22" s="13"/>
      <c r="Z22" s="19">
        <f t="shared" si="23"/>
        <v>0</v>
      </c>
      <c r="AA22" s="19">
        <f t="shared" si="24"/>
        <v>0</v>
      </c>
      <c r="AB22" s="24"/>
      <c r="AC22" s="5">
        <f t="shared" si="25"/>
        <v>0</v>
      </c>
      <c r="AD22" s="5">
        <f t="shared" si="26"/>
        <v>0</v>
      </c>
      <c r="AE22" s="6"/>
      <c r="AF22" s="6"/>
      <c r="AG22" s="6"/>
      <c r="AH22" s="6"/>
      <c r="AI22" s="6"/>
      <c r="AJ22" s="6"/>
      <c r="AK22" s="7">
        <f t="shared" si="27"/>
        <v>0</v>
      </c>
      <c r="AL22" s="8"/>
      <c r="AM22" s="8"/>
      <c r="AN22" s="9">
        <f t="shared" si="28"/>
        <v>0</v>
      </c>
      <c r="AO22" s="7">
        <f t="shared" si="29"/>
        <v>0</v>
      </c>
    </row>
    <row r="23" spans="1:41">
      <c r="A23" s="11"/>
      <c r="B23" s="11"/>
      <c r="C23" s="10"/>
      <c r="D23" s="10"/>
      <c r="E23" s="10"/>
      <c r="F23" s="13"/>
      <c r="G23" s="13"/>
      <c r="H23" s="13"/>
      <c r="I23" s="13"/>
      <c r="J23" s="13"/>
      <c r="K23" s="13"/>
      <c r="L23" s="13"/>
      <c r="M23" s="13"/>
      <c r="N23" s="13"/>
      <c r="O23" s="13"/>
      <c r="P23" s="13"/>
      <c r="Q23" s="13"/>
      <c r="R23" s="4">
        <f t="shared" si="14"/>
        <v>0</v>
      </c>
      <c r="S23" s="4">
        <f t="shared" si="15"/>
        <v>0</v>
      </c>
      <c r="T23" s="3"/>
      <c r="U23" s="13"/>
      <c r="V23" s="3"/>
      <c r="W23" s="13"/>
      <c r="X23" s="13"/>
      <c r="Y23" s="13"/>
      <c r="Z23" s="19">
        <f t="shared" si="23"/>
        <v>0</v>
      </c>
      <c r="AA23" s="19">
        <f t="shared" si="24"/>
        <v>0</v>
      </c>
      <c r="AB23" s="24"/>
      <c r="AC23" s="5">
        <f t="shared" si="25"/>
        <v>0</v>
      </c>
      <c r="AD23" s="5">
        <f t="shared" si="26"/>
        <v>0</v>
      </c>
      <c r="AE23" s="6"/>
      <c r="AF23" s="6"/>
      <c r="AG23" s="6"/>
      <c r="AH23" s="6"/>
      <c r="AI23" s="6"/>
      <c r="AJ23" s="6"/>
      <c r="AK23" s="7">
        <f t="shared" si="27"/>
        <v>0</v>
      </c>
      <c r="AL23" s="8"/>
      <c r="AM23" s="8"/>
      <c r="AN23" s="9">
        <f t="shared" si="28"/>
        <v>0</v>
      </c>
      <c r="AO23" s="7">
        <f t="shared" si="29"/>
        <v>0</v>
      </c>
    </row>
    <row r="24" spans="1:41">
      <c r="A24" s="11"/>
      <c r="B24" s="11"/>
      <c r="C24" s="10"/>
      <c r="D24" s="10"/>
      <c r="E24" s="10"/>
      <c r="F24" s="13"/>
      <c r="G24" s="13"/>
      <c r="H24" s="13"/>
      <c r="I24" s="13"/>
      <c r="J24" s="13"/>
      <c r="K24" s="13"/>
      <c r="L24" s="13"/>
      <c r="M24" s="13"/>
      <c r="N24" s="13"/>
      <c r="O24" s="13"/>
      <c r="P24" s="13"/>
      <c r="Q24" s="13"/>
      <c r="R24" s="4">
        <f t="shared" si="14"/>
        <v>0</v>
      </c>
      <c r="S24" s="4">
        <f t="shared" si="15"/>
        <v>0</v>
      </c>
      <c r="T24" s="3"/>
      <c r="U24" s="13"/>
      <c r="V24" s="3"/>
      <c r="W24" s="13"/>
      <c r="X24" s="13"/>
      <c r="Y24" s="13"/>
      <c r="Z24" s="19">
        <f t="shared" si="23"/>
        <v>0</v>
      </c>
      <c r="AA24" s="19">
        <f t="shared" si="24"/>
        <v>0</v>
      </c>
      <c r="AB24" s="24"/>
      <c r="AC24" s="5">
        <f t="shared" si="25"/>
        <v>0</v>
      </c>
      <c r="AD24" s="5">
        <f t="shared" si="26"/>
        <v>0</v>
      </c>
      <c r="AE24" s="6"/>
      <c r="AF24" s="6"/>
      <c r="AG24" s="6"/>
      <c r="AH24" s="6"/>
      <c r="AI24" s="6"/>
      <c r="AJ24" s="6"/>
      <c r="AK24" s="7">
        <f t="shared" si="27"/>
        <v>0</v>
      </c>
      <c r="AL24" s="8"/>
      <c r="AM24" s="8"/>
      <c r="AN24" s="9">
        <f t="shared" si="28"/>
        <v>0</v>
      </c>
      <c r="AO24" s="7">
        <f t="shared" si="29"/>
        <v>0</v>
      </c>
    </row>
    <row r="25" spans="1:41">
      <c r="A25" s="11"/>
      <c r="B25" s="11"/>
      <c r="C25" s="10"/>
      <c r="D25" s="10"/>
      <c r="E25" s="10"/>
      <c r="F25" s="13"/>
      <c r="G25" s="13"/>
      <c r="H25" s="13"/>
      <c r="I25" s="13"/>
      <c r="J25" s="13"/>
      <c r="K25" s="13"/>
      <c r="L25" s="13"/>
      <c r="M25" s="13"/>
      <c r="N25" s="13"/>
      <c r="O25" s="13"/>
      <c r="P25" s="13"/>
      <c r="Q25" s="13"/>
      <c r="R25" s="4">
        <f t="shared" si="14"/>
        <v>0</v>
      </c>
      <c r="S25" s="4">
        <f t="shared" si="15"/>
        <v>0</v>
      </c>
      <c r="T25" s="3"/>
      <c r="U25" s="13"/>
      <c r="V25" s="3"/>
      <c r="W25" s="13"/>
      <c r="X25" s="13"/>
      <c r="Y25" s="13"/>
      <c r="Z25" s="19">
        <f t="shared" si="23"/>
        <v>0</v>
      </c>
      <c r="AA25" s="19">
        <f t="shared" si="24"/>
        <v>0</v>
      </c>
      <c r="AB25" s="24"/>
      <c r="AC25" s="5">
        <f t="shared" si="25"/>
        <v>0</v>
      </c>
      <c r="AD25" s="5">
        <f t="shared" si="26"/>
        <v>0</v>
      </c>
      <c r="AE25" s="6"/>
      <c r="AF25" s="6"/>
      <c r="AG25" s="6"/>
      <c r="AH25" s="6"/>
      <c r="AI25" s="6"/>
      <c r="AJ25" s="6"/>
      <c r="AK25" s="7">
        <f t="shared" si="27"/>
        <v>0</v>
      </c>
      <c r="AL25" s="8"/>
      <c r="AM25" s="8"/>
      <c r="AN25" s="9">
        <f t="shared" si="28"/>
        <v>0</v>
      </c>
      <c r="AO25" s="7">
        <f t="shared" si="29"/>
        <v>0</v>
      </c>
    </row>
    <row r="26" spans="1:41">
      <c r="C26" s="1"/>
      <c r="D26" s="1"/>
      <c r="E26" s="1"/>
      <c r="F26" s="1"/>
      <c r="G26" s="1"/>
      <c r="H26" s="1"/>
      <c r="I26" s="1"/>
      <c r="J26" s="1"/>
      <c r="K26" s="1"/>
      <c r="L26" s="1"/>
      <c r="M26" s="1"/>
      <c r="N26" s="1"/>
      <c r="O26" s="1"/>
      <c r="P26" s="1"/>
      <c r="Q26" s="1"/>
    </row>
    <row r="27" spans="1:41">
      <c r="C27" s="1"/>
      <c r="D27" s="1"/>
      <c r="E27" s="1"/>
      <c r="F27" s="1"/>
      <c r="G27" s="1"/>
      <c r="H27" s="1"/>
      <c r="I27" s="1"/>
      <c r="J27" s="1"/>
      <c r="K27" s="1"/>
      <c r="L27" s="1"/>
      <c r="M27" s="1"/>
      <c r="N27" s="1"/>
      <c r="O27" s="1"/>
      <c r="P27" s="1"/>
      <c r="Q27" s="1"/>
    </row>
    <row r="28" spans="1:41">
      <c r="C28" s="1"/>
      <c r="D28" s="1"/>
      <c r="E28" s="1"/>
      <c r="F28" s="1"/>
      <c r="G28" s="1"/>
      <c r="H28" s="1"/>
      <c r="I28" s="1"/>
      <c r="J28" s="1"/>
      <c r="K28" s="1"/>
      <c r="L28" s="1"/>
      <c r="M28" s="1"/>
      <c r="N28" s="1"/>
      <c r="O28" s="1"/>
      <c r="P28" s="1"/>
      <c r="Q28" s="1"/>
    </row>
    <row r="29" spans="1:41">
      <c r="C29" s="1"/>
      <c r="D29" s="1"/>
      <c r="E29" s="1"/>
      <c r="F29" s="1"/>
      <c r="G29" s="1"/>
      <c r="H29" s="1"/>
      <c r="I29" s="1"/>
      <c r="J29" s="1"/>
      <c r="K29" s="1"/>
      <c r="L29" s="1"/>
      <c r="M29" s="1"/>
      <c r="N29" s="1"/>
      <c r="O29" s="1"/>
      <c r="P29" s="1"/>
      <c r="Q29" s="1"/>
    </row>
    <row r="30" spans="1:41">
      <c r="C30" s="1"/>
      <c r="D30" s="1"/>
      <c r="E30" s="1"/>
      <c r="F30" s="1"/>
      <c r="G30" s="1"/>
      <c r="H30" s="1"/>
      <c r="I30" s="1"/>
      <c r="J30" s="1"/>
      <c r="K30" s="1"/>
      <c r="L30" s="1"/>
      <c r="M30" s="1"/>
      <c r="N30" s="1"/>
      <c r="O30" s="1"/>
      <c r="P30" s="1"/>
      <c r="Q30" s="1"/>
    </row>
    <row r="31" spans="1:41">
      <c r="C31" s="1"/>
      <c r="D31" s="1"/>
      <c r="E31" s="1"/>
      <c r="F31" s="1"/>
      <c r="G31" s="1"/>
      <c r="H31" s="1"/>
      <c r="I31" s="1"/>
      <c r="J31" s="1"/>
      <c r="K31" s="1"/>
      <c r="L31" s="1"/>
      <c r="M31" s="1"/>
      <c r="N31" s="1"/>
      <c r="O31" s="1"/>
      <c r="P31" s="1"/>
      <c r="Q31" s="1"/>
    </row>
    <row r="32" spans="1:41">
      <c r="C32" s="1"/>
      <c r="D32" s="1"/>
      <c r="E32" s="1"/>
      <c r="F32" s="1"/>
      <c r="G32" s="1"/>
      <c r="H32" s="1"/>
      <c r="I32" s="1"/>
      <c r="J32" s="1"/>
      <c r="K32" s="1"/>
      <c r="L32" s="1"/>
      <c r="M32" s="1"/>
      <c r="N32" s="1"/>
      <c r="O32" s="1"/>
      <c r="P32" s="1"/>
      <c r="Q32" s="1"/>
    </row>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sheetData>
  <sheetProtection algorithmName="SHA-512" hashValue="VGOmIRhmjs6oqQcoj27SqD/RtBl28nR6jv20ooAzfVCiuuiK59WawuhE2iLyFeEuEDhdRimYF238XpvtnkBWBA==" saltValue="E4ZBHcGZgZMkk9iIGtCaBA==" spinCount="100000" sheet="1" selectLockedCells="1"/>
  <conditionalFormatting sqref="E2:E25 Y2:Y25">
    <cfRule type="expression" dxfId="2" priority="30">
      <formula>AND(NOT(ISBLANK(C2)),ISBLANK(E2))</formula>
    </cfRule>
  </conditionalFormatting>
  <conditionalFormatting sqref="F2:F25 H2:H25 J2:J25 L2:L25 N2:N25 P2:P25 T2:T25 V2:V25">
    <cfRule type="expression" dxfId="1" priority="29">
      <formula>AND(NOT(ISBLANK(G2)),ISBLANK(F2))</formula>
    </cfRule>
  </conditionalFormatting>
  <conditionalFormatting sqref="G2:G25 I2:I25 K2:K25 M2:M25 O2:O25 Q2:Q25 U2:U25 W2:X25">
    <cfRule type="expression" dxfId="0" priority="28">
      <formula>AND(NOT(ISBLANK(F2)),ISBLANK(G2))</formula>
    </cfRule>
  </conditionalFormatting>
  <dataValidations xWindow="281" yWindow="518" count="7">
    <dataValidation operator="lessThanOrEqual" allowBlank="1" showInputMessage="1" showErrorMessage="1" error="FTE cannot be greater than Headcount_x000a_" sqref="A1:E1 R1:AB1 AN26:AO65307 R2:S25 AK26:AK65307 C26:AD65307 AC2:AD25 AP1:FR1048576" xr:uid="{00000000-0002-0000-0000-000000000000}"/>
    <dataValidation type="decimal" allowBlank="1" showInputMessage="1" showErrorMessage="1" sqref="F2:F25 H2:H25 J2:J25 L2:L25 N2:N25 P2:P25" xr:uid="{00000000-0002-0000-0000-000001000000}">
      <formula1>0</formula1>
      <formula2>1000000000</formula2>
    </dataValidation>
    <dataValidation type="decimal" allowBlank="1" showInputMessage="1" showErrorMessage="1" sqref="V2:V25 T2:T25" xr:uid="{00000000-0002-0000-0000-000002000000}">
      <formula1>0</formula1>
      <formula2>1E+26</formula2>
    </dataValidation>
    <dataValidation type="decimal" allowBlank="1" showInputMessage="1" showErrorMessage="1" sqref="AB2:AB25" xr:uid="{00000000-0002-0000-0000-000003000000}">
      <formula1>0</formula1>
      <formula2>9.99999999999999E+28</formula2>
    </dataValidation>
    <dataValidation type="decimal" allowBlank="1" showInputMessage="1" showErrorMessage="1" sqref="G2:G25 W2:X25 U2:U25 Q2:Q25 O2:O25 M2:M25 K2:K25 I2:I25" xr:uid="{00000000-0002-0000-0000-000004000000}">
      <formula1>0</formula1>
      <formula2>F2</formula2>
    </dataValidation>
    <dataValidation type="decimal" allowBlank="1" showInputMessage="1" showErrorMessage="1" sqref="Y2:Y25" xr:uid="{00000000-0002-0000-0000-000005000000}">
      <formula1>0</formula1>
      <formula2>W2</formula2>
    </dataValidation>
    <dataValidation type="decimal" allowBlank="1" showInputMessage="1" showErrorMessage="1" sqref="AE1:AJ1048576 AL2:AM1048576" xr:uid="{00000000-0002-0000-0000-000006000000}">
      <formula1>-9999999999999</formula1>
      <formula2>9999999999999</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6">
        <x14:dataValidation type="list" allowBlank="1" showInputMessage="1" showErrorMessage="1" xr:uid="{00000000-0002-0000-0000-000007000000}">
          <x14:formula1>
            <xm:f>'Organisations list'!$I$2:$I$3</xm:f>
          </x14:formula1>
          <xm:sqref>A2:A25</xm:sqref>
        </x14:dataValidation>
        <x14:dataValidation type="list" allowBlank="1" showInputMessage="1" showErrorMessage="1" xr:uid="{00000000-0002-0000-0000-000008000000}">
          <x14:formula1>
            <xm:f>'Organisations list'!$H$2:$H$8</xm:f>
          </x14:formula1>
          <xm:sqref>D3:D25</xm:sqref>
        </x14:dataValidation>
        <x14:dataValidation type="list" allowBlank="1" showInputMessage="1" showErrorMessage="1" xr:uid="{00000000-0002-0000-0000-000009000000}">
          <x14:formula1>
            <xm:f>'Organisations list'!$I$4:$I$14</xm:f>
          </x14:formula1>
          <xm:sqref>B2:B25</xm:sqref>
        </x14:dataValidation>
        <x14:dataValidation type="list" allowBlank="1" showInputMessage="1" showErrorMessage="1" xr:uid="{00000000-0002-0000-0000-00000A000000}">
          <x14:formula1>
            <xm:f>'Organisations list'!$H$2:$H$9</xm:f>
          </x14:formula1>
          <xm:sqref>D2</xm:sqref>
        </x14:dataValidation>
        <x14:dataValidation type="list" allowBlank="1" showInputMessage="1" showErrorMessage="1" xr:uid="{00000000-0002-0000-0000-00000B000000}">
          <x14:formula1>
            <xm:f>'Organisations list'!$F$2:$F$36</xm:f>
          </x14:formula1>
          <xm:sqref>E2:E25</xm:sqref>
        </x14:dataValidation>
        <x14:dataValidation type="list" allowBlank="1" showInputMessage="1" showErrorMessage="1" xr:uid="{00000000-0002-0000-0000-00000C000000}">
          <x14:formula1>
            <xm:f>'Organisations list'!$G$2:$G$207</xm:f>
          </x14:formula1>
          <xm:sqref>C2:C25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cols>
    <col min="1" max="1" width="18.44140625" style="20" customWidth="1"/>
    <col min="2" max="2" width="150.6640625" style="22" customWidth="1"/>
    <col min="3" max="16384" width="9.21875" style="21"/>
  </cols>
  <sheetData>
    <row r="1" spans="1:2">
      <c r="A1" s="26" t="s">
        <v>44</v>
      </c>
      <c r="B1" s="27" t="s">
        <v>45</v>
      </c>
    </row>
    <row r="2" spans="1:2" ht="72" customHeight="1">
      <c r="A2" s="28" t="s">
        <v>2</v>
      </c>
      <c r="B2" s="25" t="s">
        <v>46</v>
      </c>
    </row>
    <row r="3" spans="1:2" ht="50.1" customHeight="1">
      <c r="A3" s="28" t="s">
        <v>47</v>
      </c>
      <c r="B3" s="30" t="s">
        <v>48</v>
      </c>
    </row>
    <row r="4" spans="1:2" ht="50.1" customHeight="1">
      <c r="A4" s="28" t="s">
        <v>49</v>
      </c>
      <c r="B4" s="30" t="s">
        <v>50</v>
      </c>
    </row>
    <row r="5" spans="1:2" ht="73.5" customHeight="1">
      <c r="A5" s="28" t="s">
        <v>51</v>
      </c>
      <c r="B5" s="25" t="s">
        <v>52</v>
      </c>
    </row>
    <row r="6" spans="1:2" ht="20.100000000000001" customHeight="1">
      <c r="A6" s="28" t="s">
        <v>53</v>
      </c>
      <c r="B6" s="25" t="s">
        <v>54</v>
      </c>
    </row>
    <row r="7" spans="1:2" ht="20.100000000000001" customHeight="1">
      <c r="A7" s="28" t="s">
        <v>55</v>
      </c>
      <c r="B7" s="25" t="s">
        <v>56</v>
      </c>
    </row>
    <row r="8" spans="1:2" ht="20.100000000000001" customHeight="1">
      <c r="A8" s="28" t="s">
        <v>57</v>
      </c>
      <c r="B8" s="25" t="s">
        <v>58</v>
      </c>
    </row>
    <row r="9" spans="1:2" ht="20.100000000000001" customHeight="1">
      <c r="A9" s="28" t="s">
        <v>59</v>
      </c>
      <c r="B9" s="25" t="s">
        <v>60</v>
      </c>
    </row>
    <row r="10" spans="1:2" ht="20.100000000000001" customHeight="1">
      <c r="A10" s="28" t="s">
        <v>61</v>
      </c>
      <c r="B10" s="25" t="s">
        <v>62</v>
      </c>
    </row>
    <row r="11" spans="1:2" ht="25.5">
      <c r="A11" s="28" t="s">
        <v>63</v>
      </c>
      <c r="B11" s="25" t="s">
        <v>64</v>
      </c>
    </row>
    <row r="12" spans="1:2" ht="102">
      <c r="A12" s="28" t="s">
        <v>65</v>
      </c>
      <c r="B12" s="25" t="s">
        <v>66</v>
      </c>
    </row>
    <row r="13" spans="1:2" ht="30" customHeight="1">
      <c r="A13" s="28" t="s">
        <v>67</v>
      </c>
      <c r="B13" s="25" t="s">
        <v>68</v>
      </c>
    </row>
    <row r="14" spans="1:2" ht="30" customHeight="1">
      <c r="A14" s="28" t="s">
        <v>69</v>
      </c>
      <c r="B14" s="25" t="s">
        <v>70</v>
      </c>
    </row>
    <row r="15" spans="1:2" ht="174.95" customHeight="1">
      <c r="A15" s="28" t="s">
        <v>71</v>
      </c>
      <c r="B15" s="25" t="s">
        <v>72</v>
      </c>
    </row>
    <row r="16" spans="1:2" ht="51.95" customHeight="1">
      <c r="A16" s="28" t="s">
        <v>73</v>
      </c>
      <c r="B16" s="25" t="s">
        <v>74</v>
      </c>
    </row>
    <row r="17" spans="1:2" ht="102">
      <c r="A17" s="29" t="s">
        <v>75</v>
      </c>
      <c r="B17" s="25" t="s">
        <v>76</v>
      </c>
    </row>
    <row r="18" spans="1:2" ht="30" customHeight="1">
      <c r="A18" s="28" t="s">
        <v>77</v>
      </c>
      <c r="B18" s="25" t="s">
        <v>78</v>
      </c>
    </row>
    <row r="19" spans="1:2" ht="30" customHeight="1">
      <c r="A19" s="28" t="s">
        <v>79</v>
      </c>
      <c r="B19" s="25" t="s">
        <v>78</v>
      </c>
    </row>
    <row r="25" spans="1:2">
      <c r="B25" s="22" t="s">
        <v>80</v>
      </c>
    </row>
    <row r="26" spans="1:2" ht="15">
      <c r="B26" s="23"/>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20"/>
  <sheetViews>
    <sheetView zoomScale="70" zoomScaleNormal="70" workbookViewId="0"/>
  </sheetViews>
  <sheetFormatPr defaultRowHeight="15"/>
  <cols>
    <col min="1" max="1" width="9.21875" style="12"/>
    <col min="2" max="2" width="54.6640625" bestFit="1" customWidth="1"/>
    <col min="3" max="3" width="62.88671875" bestFit="1" customWidth="1"/>
    <col min="4" max="4" width="35.33203125" bestFit="1" customWidth="1"/>
    <col min="5" max="5" width="8.88671875" style="1" customWidth="1"/>
    <col min="6" max="6" width="58.88671875" style="2" hidden="1" customWidth="1"/>
    <col min="7" max="7" width="54.6640625" style="2" hidden="1" customWidth="1"/>
    <col min="8" max="8" width="35.21875" hidden="1" customWidth="1"/>
    <col min="9" max="9" width="11.6640625" style="2" hidden="1" customWidth="1"/>
    <col min="10" max="26" width="9.21875" style="12"/>
  </cols>
  <sheetData>
    <row r="1" spans="2:9" ht="15.75">
      <c r="B1" s="33" t="s">
        <v>81</v>
      </c>
      <c r="C1" s="34" t="s">
        <v>2</v>
      </c>
      <c r="D1" s="35" t="s">
        <v>3</v>
      </c>
      <c r="F1" s="50" t="s">
        <v>81</v>
      </c>
      <c r="G1" s="51" t="s">
        <v>2</v>
      </c>
      <c r="H1" s="52" t="s">
        <v>3</v>
      </c>
      <c r="I1" s="53" t="s">
        <v>82</v>
      </c>
    </row>
    <row r="2" spans="2:9">
      <c r="B2" s="36" t="s">
        <v>83</v>
      </c>
      <c r="C2" s="37" t="s">
        <v>84</v>
      </c>
      <c r="D2" s="38" t="s">
        <v>85</v>
      </c>
      <c r="F2" s="54" t="s">
        <v>83</v>
      </c>
      <c r="G2" s="55" t="s">
        <v>86</v>
      </c>
      <c r="H2" s="32" t="s">
        <v>85</v>
      </c>
      <c r="I2" s="2">
        <v>2025</v>
      </c>
    </row>
    <row r="3" spans="2:9">
      <c r="B3" s="39" t="s">
        <v>83</v>
      </c>
      <c r="C3" s="12" t="s">
        <v>87</v>
      </c>
      <c r="D3" s="40" t="s">
        <v>43</v>
      </c>
      <c r="F3" s="56" t="s">
        <v>88</v>
      </c>
      <c r="G3" t="s">
        <v>89</v>
      </c>
      <c r="H3" s="31" t="s">
        <v>43</v>
      </c>
      <c r="I3" s="2">
        <v>2026</v>
      </c>
    </row>
    <row r="4" spans="2:9">
      <c r="B4" s="39" t="s">
        <v>83</v>
      </c>
      <c r="C4" s="12" t="s">
        <v>90</v>
      </c>
      <c r="D4" s="40" t="s">
        <v>43</v>
      </c>
      <c r="F4" s="56" t="s">
        <v>91</v>
      </c>
      <c r="G4" s="49" t="s">
        <v>92</v>
      </c>
      <c r="H4" s="31" t="s">
        <v>93</v>
      </c>
      <c r="I4" s="2" t="s">
        <v>94</v>
      </c>
    </row>
    <row r="5" spans="2:9">
      <c r="B5" s="39" t="s">
        <v>83</v>
      </c>
      <c r="C5" s="12" t="s">
        <v>95</v>
      </c>
      <c r="D5" s="40" t="s">
        <v>43</v>
      </c>
      <c r="F5" s="56" t="s">
        <v>96</v>
      </c>
      <c r="G5" s="49" t="s">
        <v>97</v>
      </c>
      <c r="H5" t="s">
        <v>98</v>
      </c>
      <c r="I5" s="2" t="s">
        <v>99</v>
      </c>
    </row>
    <row r="6" spans="2:9">
      <c r="B6" s="39" t="s">
        <v>83</v>
      </c>
      <c r="C6" s="12" t="s">
        <v>100</v>
      </c>
      <c r="D6" s="40" t="s">
        <v>101</v>
      </c>
      <c r="F6" s="56" t="s">
        <v>102</v>
      </c>
      <c r="G6" s="49" t="s">
        <v>103</v>
      </c>
      <c r="H6" s="31" t="s">
        <v>104</v>
      </c>
      <c r="I6" s="2" t="s">
        <v>105</v>
      </c>
    </row>
    <row r="7" spans="2:9">
      <c r="B7" s="41" t="s">
        <v>88</v>
      </c>
      <c r="C7" s="42" t="s">
        <v>88</v>
      </c>
      <c r="D7" s="43" t="s">
        <v>85</v>
      </c>
      <c r="F7" s="56" t="s">
        <v>106</v>
      </c>
      <c r="G7" s="49" t="s">
        <v>107</v>
      </c>
      <c r="H7" s="31" t="s">
        <v>108</v>
      </c>
      <c r="I7" s="2" t="s">
        <v>109</v>
      </c>
    </row>
    <row r="8" spans="2:9">
      <c r="B8" s="41" t="s">
        <v>88</v>
      </c>
      <c r="C8" s="42" t="s">
        <v>110</v>
      </c>
      <c r="D8" s="43" t="s">
        <v>93</v>
      </c>
      <c r="F8" s="56" t="s">
        <v>111</v>
      </c>
      <c r="G8" s="49" t="s">
        <v>112</v>
      </c>
      <c r="H8" s="31" t="s">
        <v>101</v>
      </c>
      <c r="I8" s="2" t="s">
        <v>113</v>
      </c>
    </row>
    <row r="9" spans="2:9">
      <c r="B9" s="41" t="s">
        <v>88</v>
      </c>
      <c r="C9" s="42" t="s">
        <v>114</v>
      </c>
      <c r="D9" s="43" t="s">
        <v>93</v>
      </c>
      <c r="F9" s="56" t="s">
        <v>115</v>
      </c>
      <c r="G9" s="49" t="s">
        <v>84</v>
      </c>
      <c r="H9" t="s">
        <v>116</v>
      </c>
      <c r="I9" s="2" t="s">
        <v>117</v>
      </c>
    </row>
    <row r="10" spans="2:9">
      <c r="B10" s="41" t="s">
        <v>88</v>
      </c>
      <c r="C10" s="44" t="s">
        <v>118</v>
      </c>
      <c r="D10" s="43" t="s">
        <v>116</v>
      </c>
      <c r="F10" s="56" t="s">
        <v>119</v>
      </c>
      <c r="G10" s="49" t="s">
        <v>120</v>
      </c>
      <c r="I10" s="2" t="s">
        <v>41</v>
      </c>
    </row>
    <row r="11" spans="2:9">
      <c r="B11" s="41" t="s">
        <v>88</v>
      </c>
      <c r="C11" s="42" t="s">
        <v>121</v>
      </c>
      <c r="D11" s="43" t="s">
        <v>116</v>
      </c>
      <c r="F11" s="56" t="s">
        <v>122</v>
      </c>
      <c r="G11" s="49" t="s">
        <v>123</v>
      </c>
      <c r="I11" s="2" t="s">
        <v>124</v>
      </c>
    </row>
    <row r="12" spans="2:9">
      <c r="B12" s="41" t="s">
        <v>88</v>
      </c>
      <c r="C12" s="42" t="s">
        <v>125</v>
      </c>
      <c r="D12" s="43" t="s">
        <v>104</v>
      </c>
      <c r="F12" s="56" t="s">
        <v>126</v>
      </c>
      <c r="G12" s="49" t="s">
        <v>127</v>
      </c>
      <c r="I12" s="2" t="s">
        <v>128</v>
      </c>
    </row>
    <row r="13" spans="2:9">
      <c r="B13" s="41" t="s">
        <v>88</v>
      </c>
      <c r="C13" s="44" t="s">
        <v>129</v>
      </c>
      <c r="D13" s="43" t="s">
        <v>104</v>
      </c>
      <c r="F13" s="56" t="s">
        <v>130</v>
      </c>
      <c r="G13" s="49" t="s">
        <v>131</v>
      </c>
      <c r="I13" s="2" t="s">
        <v>132</v>
      </c>
    </row>
    <row r="14" spans="2:9">
      <c r="B14" s="39" t="s">
        <v>91</v>
      </c>
      <c r="C14" s="12" t="s">
        <v>91</v>
      </c>
      <c r="D14" s="40" t="s">
        <v>43</v>
      </c>
      <c r="F14" s="56" t="s">
        <v>133</v>
      </c>
      <c r="G14" s="49" t="s">
        <v>134</v>
      </c>
      <c r="I14" s="2" t="s">
        <v>135</v>
      </c>
    </row>
    <row r="15" spans="2:9">
      <c r="B15" s="41" t="s">
        <v>96</v>
      </c>
      <c r="C15" s="42" t="s">
        <v>96</v>
      </c>
      <c r="D15" s="43" t="s">
        <v>43</v>
      </c>
      <c r="F15" s="56" t="s">
        <v>136</v>
      </c>
      <c r="G15" s="49" t="s">
        <v>137</v>
      </c>
    </row>
    <row r="16" spans="2:9">
      <c r="B16" s="39" t="s">
        <v>102</v>
      </c>
      <c r="C16" s="12" t="s">
        <v>102</v>
      </c>
      <c r="D16" s="40" t="s">
        <v>85</v>
      </c>
      <c r="F16" s="56" t="s">
        <v>138</v>
      </c>
      <c r="G16" s="49" t="s">
        <v>139</v>
      </c>
    </row>
    <row r="17" spans="2:8">
      <c r="B17" s="39" t="s">
        <v>102</v>
      </c>
      <c r="C17" s="12" t="s">
        <v>140</v>
      </c>
      <c r="D17" s="40" t="s">
        <v>93</v>
      </c>
      <c r="F17" s="56" t="s">
        <v>141</v>
      </c>
      <c r="G17" s="49" t="s">
        <v>88</v>
      </c>
    </row>
    <row r="18" spans="2:8">
      <c r="B18" s="39" t="s">
        <v>102</v>
      </c>
      <c r="C18" s="12" t="s">
        <v>142</v>
      </c>
      <c r="D18" s="40" t="s">
        <v>93</v>
      </c>
      <c r="F18" s="56" t="s">
        <v>143</v>
      </c>
      <c r="G18" s="49" t="s">
        <v>144</v>
      </c>
    </row>
    <row r="19" spans="2:8">
      <c r="B19" s="39" t="s">
        <v>102</v>
      </c>
      <c r="C19" s="12" t="s">
        <v>92</v>
      </c>
      <c r="D19" s="40" t="s">
        <v>98</v>
      </c>
      <c r="F19" s="56" t="s">
        <v>145</v>
      </c>
      <c r="G19" s="49" t="s">
        <v>118</v>
      </c>
    </row>
    <row r="20" spans="2:8">
      <c r="B20" s="39" t="s">
        <v>102</v>
      </c>
      <c r="C20" s="12" t="s">
        <v>127</v>
      </c>
      <c r="D20" s="40" t="s">
        <v>104</v>
      </c>
      <c r="F20" s="56" t="s">
        <v>146</v>
      </c>
      <c r="G20" s="49" t="s">
        <v>147</v>
      </c>
    </row>
    <row r="21" spans="2:8">
      <c r="B21" s="39" t="s">
        <v>102</v>
      </c>
      <c r="C21" s="12" t="s">
        <v>148</v>
      </c>
      <c r="D21" s="40" t="s">
        <v>104</v>
      </c>
      <c r="F21" s="56" t="s">
        <v>149</v>
      </c>
      <c r="G21" s="49" t="s">
        <v>91</v>
      </c>
    </row>
    <row r="22" spans="2:8">
      <c r="B22" s="39" t="s">
        <v>102</v>
      </c>
      <c r="C22" s="12" t="s">
        <v>150</v>
      </c>
      <c r="D22" s="40" t="s">
        <v>104</v>
      </c>
      <c r="F22" s="56" t="s">
        <v>151</v>
      </c>
      <c r="G22" s="49" t="s">
        <v>152</v>
      </c>
    </row>
    <row r="23" spans="2:8">
      <c r="B23" s="39" t="s">
        <v>102</v>
      </c>
      <c r="C23" s="12" t="s">
        <v>153</v>
      </c>
      <c r="D23" s="40" t="s">
        <v>104</v>
      </c>
      <c r="F23" s="56" t="s">
        <v>154</v>
      </c>
      <c r="G23" s="49" t="s">
        <v>155</v>
      </c>
    </row>
    <row r="24" spans="2:8">
      <c r="B24" s="39" t="s">
        <v>102</v>
      </c>
      <c r="C24" s="12" t="s">
        <v>156</v>
      </c>
      <c r="D24" s="40" t="s">
        <v>104</v>
      </c>
      <c r="F24" s="56" t="s">
        <v>157</v>
      </c>
      <c r="G24" s="49" t="s">
        <v>125</v>
      </c>
      <c r="H24" s="57"/>
    </row>
    <row r="25" spans="2:8">
      <c r="B25" s="41" t="s">
        <v>106</v>
      </c>
      <c r="C25" s="42" t="s">
        <v>106</v>
      </c>
      <c r="D25" s="43" t="s">
        <v>85</v>
      </c>
      <c r="F25" s="56" t="s">
        <v>158</v>
      </c>
      <c r="G25" s="49" t="s">
        <v>159</v>
      </c>
    </row>
    <row r="26" spans="2:8">
      <c r="B26" s="41" t="s">
        <v>106</v>
      </c>
      <c r="C26" s="42" t="s">
        <v>107</v>
      </c>
      <c r="D26" s="43" t="s">
        <v>104</v>
      </c>
      <c r="F26" s="56" t="s">
        <v>160</v>
      </c>
      <c r="G26" s="49" t="s">
        <v>161</v>
      </c>
    </row>
    <row r="27" spans="2:8">
      <c r="B27" s="41" t="s">
        <v>106</v>
      </c>
      <c r="C27" s="42" t="s">
        <v>123</v>
      </c>
      <c r="D27" s="43" t="s">
        <v>104</v>
      </c>
      <c r="F27" s="56" t="s">
        <v>162</v>
      </c>
      <c r="G27" s="49" t="s">
        <v>142</v>
      </c>
    </row>
    <row r="28" spans="2:8">
      <c r="B28" s="41" t="s">
        <v>106</v>
      </c>
      <c r="C28" s="42" t="s">
        <v>131</v>
      </c>
      <c r="D28" s="43" t="s">
        <v>104</v>
      </c>
      <c r="F28" s="56" t="s">
        <v>163</v>
      </c>
      <c r="G28" s="49" t="s">
        <v>96</v>
      </c>
    </row>
    <row r="29" spans="2:8">
      <c r="B29" s="41" t="s">
        <v>106</v>
      </c>
      <c r="C29" s="42" t="s">
        <v>134</v>
      </c>
      <c r="D29" s="43" t="s">
        <v>104</v>
      </c>
      <c r="F29" s="56" t="s">
        <v>164</v>
      </c>
      <c r="G29" s="49" t="s">
        <v>148</v>
      </c>
    </row>
    <row r="30" spans="2:8">
      <c r="B30" s="41" t="s">
        <v>106</v>
      </c>
      <c r="C30" s="42" t="s">
        <v>165</v>
      </c>
      <c r="D30" s="43" t="s">
        <v>104</v>
      </c>
      <c r="F30" s="56" t="s">
        <v>166</v>
      </c>
      <c r="G30" s="49" t="s">
        <v>167</v>
      </c>
    </row>
    <row r="31" spans="2:8">
      <c r="B31" s="41" t="s">
        <v>106</v>
      </c>
      <c r="C31" s="42" t="s">
        <v>168</v>
      </c>
      <c r="D31" s="43" t="s">
        <v>104</v>
      </c>
      <c r="F31" s="56" t="s">
        <v>169</v>
      </c>
      <c r="G31" s="49" t="s">
        <v>170</v>
      </c>
    </row>
    <row r="32" spans="2:8">
      <c r="B32" s="41" t="s">
        <v>106</v>
      </c>
      <c r="C32" s="42" t="s">
        <v>171</v>
      </c>
      <c r="D32" s="43" t="s">
        <v>104</v>
      </c>
      <c r="F32" s="56" t="s">
        <v>172</v>
      </c>
      <c r="G32" s="49" t="s">
        <v>173</v>
      </c>
    </row>
    <row r="33" spans="2:7">
      <c r="B33" s="41" t="s">
        <v>106</v>
      </c>
      <c r="C33" s="42" t="s">
        <v>174</v>
      </c>
      <c r="D33" s="43" t="s">
        <v>104</v>
      </c>
      <c r="F33" s="56" t="s">
        <v>175</v>
      </c>
      <c r="G33" s="49" t="s">
        <v>176</v>
      </c>
    </row>
    <row r="34" spans="2:7">
      <c r="B34" s="41" t="s">
        <v>106</v>
      </c>
      <c r="C34" s="42" t="s">
        <v>177</v>
      </c>
      <c r="D34" s="43" t="s">
        <v>104</v>
      </c>
      <c r="F34" s="56" t="s">
        <v>178</v>
      </c>
      <c r="G34" s="49" t="s">
        <v>110</v>
      </c>
    </row>
    <row r="35" spans="2:7">
      <c r="B35" s="41" t="s">
        <v>106</v>
      </c>
      <c r="C35" s="42" t="s">
        <v>179</v>
      </c>
      <c r="D35" s="43" t="s">
        <v>104</v>
      </c>
      <c r="F35" s="56" t="s">
        <v>42</v>
      </c>
      <c r="G35" s="49" t="s">
        <v>87</v>
      </c>
    </row>
    <row r="36" spans="2:7">
      <c r="B36" s="41" t="s">
        <v>106</v>
      </c>
      <c r="C36" s="42" t="s">
        <v>180</v>
      </c>
      <c r="D36" s="43" t="s">
        <v>104</v>
      </c>
      <c r="F36" s="58" t="s">
        <v>181</v>
      </c>
      <c r="G36" s="49" t="s">
        <v>182</v>
      </c>
    </row>
    <row r="37" spans="2:7">
      <c r="B37" s="41" t="s">
        <v>106</v>
      </c>
      <c r="C37" s="42" t="s">
        <v>183</v>
      </c>
      <c r="D37" s="43" t="s">
        <v>104</v>
      </c>
      <c r="F37" s="49"/>
      <c r="G37" s="49" t="s">
        <v>184</v>
      </c>
    </row>
    <row r="38" spans="2:7">
      <c r="B38" s="41" t="s">
        <v>106</v>
      </c>
      <c r="C38" s="42" t="s">
        <v>185</v>
      </c>
      <c r="D38" s="43" t="s">
        <v>104</v>
      </c>
      <c r="F38" s="14"/>
      <c r="G38" s="49" t="s">
        <v>102</v>
      </c>
    </row>
    <row r="39" spans="2:7">
      <c r="B39" s="41" t="s">
        <v>106</v>
      </c>
      <c r="C39" s="42" t="s">
        <v>186</v>
      </c>
      <c r="D39" s="43" t="s">
        <v>104</v>
      </c>
      <c r="F39" s="14"/>
      <c r="G39" s="49" t="s">
        <v>106</v>
      </c>
    </row>
    <row r="40" spans="2:7">
      <c r="B40" s="41" t="s">
        <v>106</v>
      </c>
      <c r="C40" s="42" t="s">
        <v>187</v>
      </c>
      <c r="D40" s="43" t="s">
        <v>104</v>
      </c>
      <c r="G40" s="49" t="s">
        <v>111</v>
      </c>
    </row>
    <row r="41" spans="2:7">
      <c r="B41" s="41" t="s">
        <v>106</v>
      </c>
      <c r="C41" s="42" t="s">
        <v>188</v>
      </c>
      <c r="D41" s="43" t="s">
        <v>104</v>
      </c>
      <c r="F41" s="14"/>
      <c r="G41" s="49" t="s">
        <v>115</v>
      </c>
    </row>
    <row r="42" spans="2:7">
      <c r="B42" s="41" t="s">
        <v>106</v>
      </c>
      <c r="C42" s="42" t="s">
        <v>189</v>
      </c>
      <c r="D42" s="43" t="s">
        <v>104</v>
      </c>
      <c r="F42" s="14"/>
      <c r="G42" s="49" t="s">
        <v>190</v>
      </c>
    </row>
    <row r="43" spans="2:7">
      <c r="B43" s="41" t="s">
        <v>106</v>
      </c>
      <c r="C43" s="42" t="s">
        <v>191</v>
      </c>
      <c r="D43" s="43" t="s">
        <v>104</v>
      </c>
      <c r="F43" s="14"/>
      <c r="G43" s="49" t="s">
        <v>119</v>
      </c>
    </row>
    <row r="44" spans="2:7">
      <c r="B44" s="41" t="s">
        <v>106</v>
      </c>
      <c r="C44" s="42" t="s">
        <v>192</v>
      </c>
      <c r="D44" s="43" t="s">
        <v>104</v>
      </c>
      <c r="F44" s="14"/>
      <c r="G44" s="49" t="s">
        <v>122</v>
      </c>
    </row>
    <row r="45" spans="2:7">
      <c r="B45" s="41" t="s">
        <v>106</v>
      </c>
      <c r="C45" s="42" t="s">
        <v>193</v>
      </c>
      <c r="D45" s="43" t="s">
        <v>104</v>
      </c>
      <c r="F45" s="14"/>
      <c r="G45" s="49" t="s">
        <v>126</v>
      </c>
    </row>
    <row r="46" spans="2:7">
      <c r="B46" s="41" t="s">
        <v>106</v>
      </c>
      <c r="C46" s="42" t="s">
        <v>194</v>
      </c>
      <c r="D46" s="43" t="s">
        <v>104</v>
      </c>
      <c r="F46" s="14"/>
      <c r="G46" s="49" t="s">
        <v>195</v>
      </c>
    </row>
    <row r="47" spans="2:7">
      <c r="B47" s="41" t="s">
        <v>106</v>
      </c>
      <c r="C47" s="42" t="s">
        <v>196</v>
      </c>
      <c r="D47" s="43" t="s">
        <v>104</v>
      </c>
      <c r="F47" s="14"/>
      <c r="G47" s="49" t="s">
        <v>197</v>
      </c>
    </row>
    <row r="48" spans="2:7">
      <c r="B48" s="41" t="s">
        <v>106</v>
      </c>
      <c r="C48" s="42" t="s">
        <v>198</v>
      </c>
      <c r="D48" s="43" t="s">
        <v>104</v>
      </c>
      <c r="F48" s="14"/>
      <c r="G48" s="49" t="s">
        <v>199</v>
      </c>
    </row>
    <row r="49" spans="2:7">
      <c r="B49" s="41" t="s">
        <v>106</v>
      </c>
      <c r="C49" s="42" t="s">
        <v>200</v>
      </c>
      <c r="D49" s="43" t="s">
        <v>104</v>
      </c>
      <c r="F49" s="14"/>
      <c r="G49" s="49" t="s">
        <v>201</v>
      </c>
    </row>
    <row r="50" spans="2:7">
      <c r="B50" s="41" t="s">
        <v>106</v>
      </c>
      <c r="C50" s="42" t="s">
        <v>202</v>
      </c>
      <c r="D50" s="43" t="s">
        <v>104</v>
      </c>
      <c r="F50" s="14"/>
      <c r="G50" s="49" t="s">
        <v>203</v>
      </c>
    </row>
    <row r="51" spans="2:7">
      <c r="B51" s="41" t="s">
        <v>106</v>
      </c>
      <c r="C51" s="42" t="s">
        <v>204</v>
      </c>
      <c r="D51" s="43" t="s">
        <v>104</v>
      </c>
      <c r="F51" s="14"/>
      <c r="G51" s="49" t="s">
        <v>205</v>
      </c>
    </row>
    <row r="52" spans="2:7">
      <c r="B52" s="41" t="s">
        <v>106</v>
      </c>
      <c r="C52" s="42" t="s">
        <v>206</v>
      </c>
      <c r="D52" s="43" t="s">
        <v>104</v>
      </c>
      <c r="F52" s="14"/>
      <c r="G52" s="49" t="s">
        <v>207</v>
      </c>
    </row>
    <row r="53" spans="2:7">
      <c r="B53" s="41" t="s">
        <v>106</v>
      </c>
      <c r="C53" s="42" t="s">
        <v>208</v>
      </c>
      <c r="D53" s="43" t="s">
        <v>104</v>
      </c>
      <c r="F53" s="14"/>
      <c r="G53" s="49" t="s">
        <v>209</v>
      </c>
    </row>
    <row r="54" spans="2:7">
      <c r="B54" s="41" t="s">
        <v>106</v>
      </c>
      <c r="C54" s="42" t="s">
        <v>210</v>
      </c>
      <c r="D54" s="43" t="s">
        <v>104</v>
      </c>
      <c r="F54" s="14"/>
      <c r="G54" s="59" t="s">
        <v>129</v>
      </c>
    </row>
    <row r="55" spans="2:7">
      <c r="B55" s="39" t="s">
        <v>111</v>
      </c>
      <c r="C55" s="12" t="s">
        <v>111</v>
      </c>
      <c r="D55" s="40" t="s">
        <v>85</v>
      </c>
      <c r="F55" s="14"/>
      <c r="G55" s="49" t="s">
        <v>133</v>
      </c>
    </row>
    <row r="56" spans="2:7">
      <c r="B56" s="39" t="s">
        <v>111</v>
      </c>
      <c r="C56" s="12" t="s">
        <v>211</v>
      </c>
      <c r="D56" s="40" t="s">
        <v>93</v>
      </c>
      <c r="F56" s="14"/>
      <c r="G56" s="49" t="s">
        <v>136</v>
      </c>
    </row>
    <row r="57" spans="2:7">
      <c r="B57" s="39" t="s">
        <v>111</v>
      </c>
      <c r="C57" s="12" t="s">
        <v>212</v>
      </c>
      <c r="D57" s="40" t="s">
        <v>93</v>
      </c>
      <c r="F57" s="14"/>
      <c r="G57" s="49" t="s">
        <v>213</v>
      </c>
    </row>
    <row r="58" spans="2:7">
      <c r="B58" s="39" t="s">
        <v>111</v>
      </c>
      <c r="C58" s="12" t="s">
        <v>214</v>
      </c>
      <c r="D58" s="40" t="s">
        <v>93</v>
      </c>
      <c r="F58" s="60"/>
      <c r="G58" s="49" t="s">
        <v>215</v>
      </c>
    </row>
    <row r="59" spans="2:7">
      <c r="B59" s="39" t="s">
        <v>111</v>
      </c>
      <c r="C59" s="12" t="s">
        <v>167</v>
      </c>
      <c r="D59" s="40" t="s">
        <v>104</v>
      </c>
      <c r="F59" s="14"/>
      <c r="G59" s="49" t="s">
        <v>150</v>
      </c>
    </row>
    <row r="60" spans="2:7">
      <c r="B60" s="39" t="s">
        <v>111</v>
      </c>
      <c r="C60" s="12" t="s">
        <v>207</v>
      </c>
      <c r="D60" s="40" t="s">
        <v>104</v>
      </c>
      <c r="F60" s="14"/>
      <c r="G60" s="49" t="s">
        <v>138</v>
      </c>
    </row>
    <row r="61" spans="2:7">
      <c r="B61" s="39" t="s">
        <v>111</v>
      </c>
      <c r="C61" s="12" t="s">
        <v>216</v>
      </c>
      <c r="D61" s="40" t="s">
        <v>104</v>
      </c>
      <c r="F61" s="14"/>
      <c r="G61" s="49" t="s">
        <v>141</v>
      </c>
    </row>
    <row r="62" spans="2:7">
      <c r="B62" s="39" t="s">
        <v>111</v>
      </c>
      <c r="C62" s="12" t="s">
        <v>217</v>
      </c>
      <c r="D62" s="40" t="s">
        <v>104</v>
      </c>
      <c r="F62" s="14"/>
      <c r="G62" s="49" t="s">
        <v>165</v>
      </c>
    </row>
    <row r="63" spans="2:7">
      <c r="B63" s="39" t="s">
        <v>111</v>
      </c>
      <c r="C63" s="12" t="s">
        <v>218</v>
      </c>
      <c r="D63" s="40" t="s">
        <v>104</v>
      </c>
      <c r="F63" s="14"/>
      <c r="G63" s="49" t="s">
        <v>219</v>
      </c>
    </row>
    <row r="64" spans="2:7">
      <c r="B64" s="39" t="s">
        <v>111</v>
      </c>
      <c r="C64" s="12" t="s">
        <v>220</v>
      </c>
      <c r="D64" s="40" t="s">
        <v>104</v>
      </c>
      <c r="F64" s="14"/>
      <c r="G64" s="49" t="s">
        <v>221</v>
      </c>
    </row>
    <row r="65" spans="2:7">
      <c r="B65" s="39" t="s">
        <v>111</v>
      </c>
      <c r="C65" s="12" t="s">
        <v>222</v>
      </c>
      <c r="D65" s="40" t="s">
        <v>104</v>
      </c>
      <c r="F65" s="14"/>
      <c r="G65" s="49" t="s">
        <v>121</v>
      </c>
    </row>
    <row r="66" spans="2:7">
      <c r="B66" s="41" t="s">
        <v>115</v>
      </c>
      <c r="C66" s="42" t="s">
        <v>115</v>
      </c>
      <c r="D66" s="43" t="s">
        <v>85</v>
      </c>
      <c r="F66" s="14"/>
      <c r="G66" s="49" t="s">
        <v>223</v>
      </c>
    </row>
    <row r="67" spans="2:7">
      <c r="B67" s="41" t="s">
        <v>115</v>
      </c>
      <c r="C67" s="42" t="s">
        <v>155</v>
      </c>
      <c r="D67" s="43" t="s">
        <v>104</v>
      </c>
      <c r="F67" s="14"/>
      <c r="G67" s="49" t="s">
        <v>90</v>
      </c>
    </row>
    <row r="68" spans="2:7">
      <c r="B68" s="41" t="s">
        <v>115</v>
      </c>
      <c r="C68" s="42" t="s">
        <v>159</v>
      </c>
      <c r="D68" s="43" t="s">
        <v>104</v>
      </c>
      <c r="F68" s="14"/>
      <c r="G68" s="49" t="s">
        <v>114</v>
      </c>
    </row>
    <row r="69" spans="2:7">
      <c r="B69" s="41" t="s">
        <v>115</v>
      </c>
      <c r="C69" s="42" t="s">
        <v>224</v>
      </c>
      <c r="D69" s="43" t="s">
        <v>104</v>
      </c>
      <c r="F69" s="14"/>
      <c r="G69" s="49" t="s">
        <v>225</v>
      </c>
    </row>
    <row r="70" spans="2:7">
      <c r="B70" s="41" t="s">
        <v>115</v>
      </c>
      <c r="C70" s="42" t="s">
        <v>226</v>
      </c>
      <c r="D70" s="43" t="s">
        <v>104</v>
      </c>
      <c r="F70" s="14"/>
      <c r="G70" s="49" t="s">
        <v>224</v>
      </c>
    </row>
    <row r="71" spans="2:7">
      <c r="B71" s="41" t="s">
        <v>115</v>
      </c>
      <c r="C71" s="42" t="s">
        <v>227</v>
      </c>
      <c r="D71" s="43" t="s">
        <v>104</v>
      </c>
      <c r="F71" s="14"/>
      <c r="G71" s="49" t="s">
        <v>228</v>
      </c>
    </row>
    <row r="72" spans="2:7">
      <c r="B72" s="41" t="s">
        <v>115</v>
      </c>
      <c r="C72" s="42" t="s">
        <v>229</v>
      </c>
      <c r="D72" s="43" t="s">
        <v>104</v>
      </c>
      <c r="F72" s="14"/>
      <c r="G72" s="49" t="s">
        <v>230</v>
      </c>
    </row>
    <row r="73" spans="2:7">
      <c r="B73" s="41" t="s">
        <v>115</v>
      </c>
      <c r="C73" s="42" t="s">
        <v>231</v>
      </c>
      <c r="D73" s="43" t="s">
        <v>104</v>
      </c>
      <c r="F73" s="14"/>
      <c r="G73" s="49" t="s">
        <v>232</v>
      </c>
    </row>
    <row r="74" spans="2:7">
      <c r="B74" s="39" t="s">
        <v>190</v>
      </c>
      <c r="C74" s="12" t="s">
        <v>190</v>
      </c>
      <c r="D74" s="40" t="s">
        <v>85</v>
      </c>
      <c r="F74" s="14"/>
      <c r="G74" s="49" t="s">
        <v>233</v>
      </c>
    </row>
    <row r="75" spans="2:7">
      <c r="B75" s="39" t="s">
        <v>190</v>
      </c>
      <c r="C75" s="12" t="s">
        <v>103</v>
      </c>
      <c r="D75" s="40" t="s">
        <v>93</v>
      </c>
      <c r="F75" s="14"/>
      <c r="G75" s="49" t="s">
        <v>168</v>
      </c>
    </row>
    <row r="76" spans="2:7">
      <c r="B76" s="39" t="s">
        <v>190</v>
      </c>
      <c r="C76" s="12" t="s">
        <v>147</v>
      </c>
      <c r="D76" s="40" t="s">
        <v>93</v>
      </c>
      <c r="F76" s="14"/>
      <c r="G76" s="49" t="s">
        <v>234</v>
      </c>
    </row>
    <row r="77" spans="2:7">
      <c r="B77" s="39" t="s">
        <v>190</v>
      </c>
      <c r="C77" s="12" t="s">
        <v>235</v>
      </c>
      <c r="D77" s="40" t="s">
        <v>93</v>
      </c>
      <c r="F77" s="14"/>
      <c r="G77" s="49" t="s">
        <v>100</v>
      </c>
    </row>
    <row r="78" spans="2:7">
      <c r="B78" s="39" t="s">
        <v>190</v>
      </c>
      <c r="C78" s="12" t="s">
        <v>236</v>
      </c>
      <c r="D78" s="40" t="s">
        <v>93</v>
      </c>
      <c r="F78" s="14"/>
      <c r="G78" s="49" t="s">
        <v>237</v>
      </c>
    </row>
    <row r="79" spans="2:7">
      <c r="B79" s="39" t="s">
        <v>190</v>
      </c>
      <c r="C79" s="12" t="s">
        <v>97</v>
      </c>
      <c r="D79" s="40" t="s">
        <v>104</v>
      </c>
      <c r="F79" s="14"/>
      <c r="G79" s="49" t="s">
        <v>238</v>
      </c>
    </row>
    <row r="80" spans="2:7">
      <c r="B80" s="39" t="s">
        <v>190</v>
      </c>
      <c r="C80" s="12" t="s">
        <v>239</v>
      </c>
      <c r="D80" s="40" t="s">
        <v>104</v>
      </c>
      <c r="F80" s="14"/>
      <c r="G80" s="49" t="s">
        <v>143</v>
      </c>
    </row>
    <row r="81" spans="2:7">
      <c r="B81" s="39" t="s">
        <v>190</v>
      </c>
      <c r="C81" s="12" t="s">
        <v>170</v>
      </c>
      <c r="D81" s="40" t="s">
        <v>104</v>
      </c>
      <c r="F81" s="14"/>
      <c r="G81" s="49" t="s">
        <v>145</v>
      </c>
    </row>
    <row r="82" spans="2:7">
      <c r="B82" s="39" t="s">
        <v>190</v>
      </c>
      <c r="C82" s="12" t="s">
        <v>209</v>
      </c>
      <c r="D82" s="40" t="s">
        <v>104</v>
      </c>
      <c r="G82" s="49" t="s">
        <v>240</v>
      </c>
    </row>
    <row r="83" spans="2:7">
      <c r="B83" s="39" t="s">
        <v>190</v>
      </c>
      <c r="C83" s="12" t="s">
        <v>241</v>
      </c>
      <c r="D83" s="40" t="s">
        <v>104</v>
      </c>
      <c r="G83" s="49" t="s">
        <v>242</v>
      </c>
    </row>
    <row r="84" spans="2:7">
      <c r="B84" s="39" t="s">
        <v>190</v>
      </c>
      <c r="C84" s="12" t="s">
        <v>243</v>
      </c>
      <c r="D84" s="40" t="s">
        <v>104</v>
      </c>
      <c r="G84" s="49" t="s">
        <v>171</v>
      </c>
    </row>
    <row r="85" spans="2:7">
      <c r="B85" s="39" t="s">
        <v>190</v>
      </c>
      <c r="C85" s="12" t="s">
        <v>244</v>
      </c>
      <c r="D85" s="40" t="s">
        <v>104</v>
      </c>
      <c r="G85" s="49" t="s">
        <v>174</v>
      </c>
    </row>
    <row r="86" spans="2:7">
      <c r="B86" s="39" t="s">
        <v>190</v>
      </c>
      <c r="C86" s="12" t="s">
        <v>245</v>
      </c>
      <c r="D86" s="40" t="s">
        <v>104</v>
      </c>
      <c r="G86" s="49" t="s">
        <v>246</v>
      </c>
    </row>
    <row r="87" spans="2:7">
      <c r="B87" s="39" t="s">
        <v>190</v>
      </c>
      <c r="C87" s="12" t="s">
        <v>247</v>
      </c>
      <c r="D87" s="40" t="s">
        <v>104</v>
      </c>
      <c r="G87" s="49" t="s">
        <v>248</v>
      </c>
    </row>
    <row r="88" spans="2:7">
      <c r="B88" s="41" t="s">
        <v>119</v>
      </c>
      <c r="C88" s="42" t="s">
        <v>119</v>
      </c>
      <c r="D88" s="43" t="s">
        <v>85</v>
      </c>
      <c r="G88" s="49" t="s">
        <v>249</v>
      </c>
    </row>
    <row r="89" spans="2:7">
      <c r="B89" s="41" t="s">
        <v>119</v>
      </c>
      <c r="C89" s="42" t="s">
        <v>139</v>
      </c>
      <c r="D89" s="43" t="s">
        <v>93</v>
      </c>
      <c r="G89" s="49" t="s">
        <v>250</v>
      </c>
    </row>
    <row r="90" spans="2:7">
      <c r="B90" s="41" t="s">
        <v>119</v>
      </c>
      <c r="C90" s="42" t="s">
        <v>251</v>
      </c>
      <c r="D90" s="43" t="s">
        <v>93</v>
      </c>
      <c r="G90" s="49" t="s">
        <v>177</v>
      </c>
    </row>
    <row r="91" spans="2:7">
      <c r="B91" s="41" t="s">
        <v>119</v>
      </c>
      <c r="C91" s="42" t="s">
        <v>252</v>
      </c>
      <c r="D91" s="43" t="s">
        <v>93</v>
      </c>
      <c r="F91" s="14"/>
      <c r="G91" s="49" t="s">
        <v>253</v>
      </c>
    </row>
    <row r="92" spans="2:7">
      <c r="B92" s="41" t="s">
        <v>119</v>
      </c>
      <c r="C92" s="42" t="s">
        <v>254</v>
      </c>
      <c r="D92" s="43" t="s">
        <v>93</v>
      </c>
      <c r="F92" s="14"/>
      <c r="G92" s="49" t="s">
        <v>255</v>
      </c>
    </row>
    <row r="93" spans="2:7">
      <c r="B93" s="41" t="s">
        <v>119</v>
      </c>
      <c r="C93" s="42" t="s">
        <v>89</v>
      </c>
      <c r="D93" s="43" t="s">
        <v>104</v>
      </c>
      <c r="F93" s="14"/>
      <c r="G93" s="49" t="s">
        <v>256</v>
      </c>
    </row>
    <row r="94" spans="2:7">
      <c r="B94" s="41" t="s">
        <v>119</v>
      </c>
      <c r="C94" s="42" t="s">
        <v>256</v>
      </c>
      <c r="D94" s="43" t="s">
        <v>104</v>
      </c>
      <c r="F94" s="14"/>
      <c r="G94" s="49" t="s">
        <v>251</v>
      </c>
    </row>
    <row r="95" spans="2:7">
      <c r="B95" s="41" t="s">
        <v>119</v>
      </c>
      <c r="C95" s="42" t="s">
        <v>257</v>
      </c>
      <c r="D95" s="43" t="s">
        <v>104</v>
      </c>
      <c r="F95" s="14"/>
      <c r="G95" s="49" t="s">
        <v>241</v>
      </c>
    </row>
    <row r="96" spans="2:7">
      <c r="B96" s="39" t="s">
        <v>122</v>
      </c>
      <c r="C96" s="12" t="s">
        <v>122</v>
      </c>
      <c r="D96" s="40" t="s">
        <v>85</v>
      </c>
      <c r="F96" s="14"/>
      <c r="G96" s="49" t="s">
        <v>258</v>
      </c>
    </row>
    <row r="97" spans="2:7">
      <c r="B97" s="39" t="s">
        <v>122</v>
      </c>
      <c r="C97" s="45" t="s">
        <v>86</v>
      </c>
      <c r="D97" s="40" t="s">
        <v>93</v>
      </c>
      <c r="F97" s="14"/>
      <c r="G97" s="49" t="s">
        <v>259</v>
      </c>
    </row>
    <row r="98" spans="2:7">
      <c r="B98" s="39" t="s">
        <v>122</v>
      </c>
      <c r="C98" s="12" t="s">
        <v>199</v>
      </c>
      <c r="D98" s="40" t="s">
        <v>93</v>
      </c>
      <c r="F98" s="14"/>
      <c r="G98" s="49" t="s">
        <v>260</v>
      </c>
    </row>
    <row r="99" spans="2:7">
      <c r="B99" s="39" t="s">
        <v>122</v>
      </c>
      <c r="C99" s="12" t="s">
        <v>201</v>
      </c>
      <c r="D99" s="40" t="s">
        <v>93</v>
      </c>
      <c r="F99" s="14"/>
      <c r="G99" s="49" t="s">
        <v>261</v>
      </c>
    </row>
    <row r="100" spans="2:7">
      <c r="B100" s="39" t="s">
        <v>122</v>
      </c>
      <c r="C100" s="12" t="s">
        <v>262</v>
      </c>
      <c r="D100" s="40" t="s">
        <v>93</v>
      </c>
      <c r="F100" s="14"/>
      <c r="G100" s="49" t="s">
        <v>216</v>
      </c>
    </row>
    <row r="101" spans="2:7">
      <c r="B101" s="39" t="s">
        <v>122</v>
      </c>
      <c r="C101" s="12" t="s">
        <v>263</v>
      </c>
      <c r="D101" s="40" t="s">
        <v>93</v>
      </c>
      <c r="F101" s="14"/>
      <c r="G101" s="49" t="s">
        <v>243</v>
      </c>
    </row>
    <row r="102" spans="2:7">
      <c r="B102" s="39" t="s">
        <v>122</v>
      </c>
      <c r="C102" s="12" t="s">
        <v>137</v>
      </c>
      <c r="D102" s="40" t="s">
        <v>104</v>
      </c>
      <c r="F102" s="14"/>
      <c r="G102" s="49" t="s">
        <v>262</v>
      </c>
    </row>
    <row r="103" spans="2:7">
      <c r="B103" s="39" t="s">
        <v>122</v>
      </c>
      <c r="C103" s="12" t="s">
        <v>203</v>
      </c>
      <c r="D103" s="40" t="s">
        <v>104</v>
      </c>
      <c r="F103" s="14"/>
      <c r="G103" s="49" t="s">
        <v>264</v>
      </c>
    </row>
    <row r="104" spans="2:7">
      <c r="B104" s="39" t="s">
        <v>122</v>
      </c>
      <c r="C104" s="12" t="s">
        <v>233</v>
      </c>
      <c r="D104" s="40" t="s">
        <v>104</v>
      </c>
      <c r="F104" s="14"/>
      <c r="G104" s="49" t="s">
        <v>265</v>
      </c>
    </row>
    <row r="105" spans="2:7">
      <c r="B105" s="39" t="s">
        <v>122</v>
      </c>
      <c r="C105" s="12" t="s">
        <v>266</v>
      </c>
      <c r="D105" s="40" t="s">
        <v>104</v>
      </c>
      <c r="F105" s="14"/>
      <c r="G105" s="49" t="s">
        <v>252</v>
      </c>
    </row>
    <row r="106" spans="2:7">
      <c r="B106" s="39" t="s">
        <v>122</v>
      </c>
      <c r="C106" s="12" t="s">
        <v>267</v>
      </c>
      <c r="D106" s="40" t="s">
        <v>104</v>
      </c>
      <c r="F106" s="14"/>
      <c r="G106" s="49" t="s">
        <v>226</v>
      </c>
    </row>
    <row r="107" spans="2:7">
      <c r="B107" s="39" t="s">
        <v>122</v>
      </c>
      <c r="C107" s="12" t="s">
        <v>268</v>
      </c>
      <c r="D107" s="40" t="s">
        <v>104</v>
      </c>
      <c r="F107" s="14"/>
      <c r="G107" s="49" t="s">
        <v>149</v>
      </c>
    </row>
    <row r="108" spans="2:7">
      <c r="B108" s="39" t="s">
        <v>122</v>
      </c>
      <c r="C108" s="12" t="s">
        <v>269</v>
      </c>
      <c r="D108" s="40" t="s">
        <v>104</v>
      </c>
      <c r="F108" s="14"/>
      <c r="G108" s="49" t="s">
        <v>151</v>
      </c>
    </row>
    <row r="109" spans="2:7">
      <c r="B109" s="39" t="s">
        <v>122</v>
      </c>
      <c r="C109" s="12" t="s">
        <v>270</v>
      </c>
      <c r="D109" s="40" t="s">
        <v>104</v>
      </c>
      <c r="F109" s="14"/>
      <c r="G109" s="49" t="s">
        <v>154</v>
      </c>
    </row>
    <row r="110" spans="2:7">
      <c r="B110" s="41" t="s">
        <v>126</v>
      </c>
      <c r="C110" s="42" t="s">
        <v>126</v>
      </c>
      <c r="D110" s="43" t="s">
        <v>85</v>
      </c>
      <c r="F110" s="14"/>
      <c r="G110" s="49" t="s">
        <v>271</v>
      </c>
    </row>
    <row r="111" spans="2:7">
      <c r="B111" s="41" t="s">
        <v>126</v>
      </c>
      <c r="C111" s="42" t="s">
        <v>228</v>
      </c>
      <c r="D111" s="43" t="s">
        <v>98</v>
      </c>
      <c r="F111" s="14"/>
      <c r="G111" s="49" t="s">
        <v>179</v>
      </c>
    </row>
    <row r="112" spans="2:7">
      <c r="B112" s="41" t="s">
        <v>126</v>
      </c>
      <c r="C112" s="42" t="s">
        <v>271</v>
      </c>
      <c r="D112" s="43" t="s">
        <v>104</v>
      </c>
      <c r="F112" s="14"/>
      <c r="G112" s="49" t="s">
        <v>272</v>
      </c>
    </row>
    <row r="113" spans="2:7">
      <c r="B113" s="41" t="s">
        <v>126</v>
      </c>
      <c r="C113" s="42" t="s">
        <v>273</v>
      </c>
      <c r="D113" s="43" t="s">
        <v>104</v>
      </c>
      <c r="F113" s="14"/>
      <c r="G113" s="49" t="s">
        <v>157</v>
      </c>
    </row>
    <row r="114" spans="2:7">
      <c r="B114" s="39" t="s">
        <v>130</v>
      </c>
      <c r="C114" s="12" t="s">
        <v>195</v>
      </c>
      <c r="D114" s="40" t="s">
        <v>85</v>
      </c>
      <c r="F114" s="14"/>
      <c r="G114" t="s">
        <v>180</v>
      </c>
    </row>
    <row r="115" spans="2:7">
      <c r="B115" s="39" t="s">
        <v>130</v>
      </c>
      <c r="C115" s="12" t="s">
        <v>265</v>
      </c>
      <c r="D115" s="40" t="s">
        <v>93</v>
      </c>
      <c r="F115" s="14"/>
      <c r="G115" s="49" t="s">
        <v>183</v>
      </c>
    </row>
    <row r="116" spans="2:7">
      <c r="B116" s="39" t="s">
        <v>130</v>
      </c>
      <c r="C116" s="12" t="s">
        <v>274</v>
      </c>
      <c r="D116" s="40" t="s">
        <v>93</v>
      </c>
      <c r="F116" s="14"/>
      <c r="G116" s="49" t="s">
        <v>266</v>
      </c>
    </row>
    <row r="117" spans="2:7">
      <c r="B117" s="39" t="s">
        <v>130</v>
      </c>
      <c r="C117" s="12" t="s">
        <v>144</v>
      </c>
      <c r="D117" s="40" t="s">
        <v>104</v>
      </c>
      <c r="F117" s="14"/>
      <c r="G117" s="49" t="s">
        <v>275</v>
      </c>
    </row>
    <row r="118" spans="2:7">
      <c r="B118" s="39" t="s">
        <v>130</v>
      </c>
      <c r="C118" s="12" t="s">
        <v>230</v>
      </c>
      <c r="D118" s="40" t="s">
        <v>104</v>
      </c>
      <c r="F118" s="14"/>
      <c r="G118" s="49" t="s">
        <v>185</v>
      </c>
    </row>
    <row r="119" spans="2:7">
      <c r="B119" s="39" t="s">
        <v>130</v>
      </c>
      <c r="C119" s="12" t="s">
        <v>232</v>
      </c>
      <c r="D119" s="40" t="s">
        <v>104</v>
      </c>
      <c r="F119" s="14"/>
      <c r="G119" s="49" t="s">
        <v>276</v>
      </c>
    </row>
    <row r="120" spans="2:7">
      <c r="B120" s="39" t="s">
        <v>130</v>
      </c>
      <c r="C120" s="12" t="s">
        <v>248</v>
      </c>
      <c r="D120" s="40" t="s">
        <v>104</v>
      </c>
      <c r="F120" s="14"/>
      <c r="G120" s="49" t="s">
        <v>186</v>
      </c>
    </row>
    <row r="121" spans="2:7">
      <c r="B121" s="39" t="s">
        <v>130</v>
      </c>
      <c r="C121" s="12" t="s">
        <v>249</v>
      </c>
      <c r="D121" s="40" t="s">
        <v>104</v>
      </c>
      <c r="F121" s="14"/>
      <c r="G121" s="49" t="s">
        <v>187</v>
      </c>
    </row>
    <row r="122" spans="2:7">
      <c r="B122" s="39" t="s">
        <v>130</v>
      </c>
      <c r="C122" s="12" t="s">
        <v>277</v>
      </c>
      <c r="D122" s="40" t="s">
        <v>104</v>
      </c>
      <c r="F122" s="14"/>
      <c r="G122" s="49" t="s">
        <v>278</v>
      </c>
    </row>
    <row r="123" spans="2:7">
      <c r="B123" s="39" t="s">
        <v>130</v>
      </c>
      <c r="C123" s="12" t="s">
        <v>275</v>
      </c>
      <c r="D123" s="40" t="s">
        <v>104</v>
      </c>
      <c r="F123" s="14"/>
      <c r="G123" s="49" t="s">
        <v>244</v>
      </c>
    </row>
    <row r="124" spans="2:7">
      <c r="B124" s="39" t="s">
        <v>130</v>
      </c>
      <c r="C124" s="12" t="s">
        <v>279</v>
      </c>
      <c r="D124" s="40" t="s">
        <v>108</v>
      </c>
      <c r="F124" s="14"/>
      <c r="G124" s="49" t="s">
        <v>188</v>
      </c>
    </row>
    <row r="125" spans="2:7">
      <c r="B125" s="39" t="s">
        <v>130</v>
      </c>
      <c r="C125" s="12" t="s">
        <v>280</v>
      </c>
      <c r="D125" s="40" t="s">
        <v>108</v>
      </c>
      <c r="F125" s="14"/>
      <c r="G125" s="49" t="s">
        <v>267</v>
      </c>
    </row>
    <row r="126" spans="2:7">
      <c r="B126" s="39" t="s">
        <v>130</v>
      </c>
      <c r="C126" s="12" t="s">
        <v>281</v>
      </c>
      <c r="D126" s="40" t="s">
        <v>108</v>
      </c>
      <c r="G126" s="49" t="s">
        <v>279</v>
      </c>
    </row>
    <row r="127" spans="2:7">
      <c r="B127" s="39" t="s">
        <v>130</v>
      </c>
      <c r="C127" s="12" t="s">
        <v>282</v>
      </c>
      <c r="D127" s="40" t="s">
        <v>108</v>
      </c>
      <c r="F127" s="14"/>
      <c r="G127" s="49" t="s">
        <v>280</v>
      </c>
    </row>
    <row r="128" spans="2:7">
      <c r="B128" s="41" t="s">
        <v>133</v>
      </c>
      <c r="C128" s="42" t="s">
        <v>133</v>
      </c>
      <c r="D128" s="43" t="s">
        <v>43</v>
      </c>
      <c r="F128" s="14"/>
      <c r="G128" s="49" t="s">
        <v>281</v>
      </c>
    </row>
    <row r="129" spans="2:7">
      <c r="B129" s="39" t="s">
        <v>136</v>
      </c>
      <c r="C129" s="12" t="s">
        <v>136</v>
      </c>
      <c r="D129" s="40" t="s">
        <v>85</v>
      </c>
      <c r="F129" s="14"/>
      <c r="G129" s="49" t="s">
        <v>277</v>
      </c>
    </row>
    <row r="130" spans="2:7">
      <c r="B130" s="39" t="s">
        <v>136</v>
      </c>
      <c r="C130" s="12" t="s">
        <v>213</v>
      </c>
      <c r="D130" s="40" t="s">
        <v>101</v>
      </c>
      <c r="F130" s="14"/>
      <c r="G130" s="49" t="s">
        <v>282</v>
      </c>
    </row>
    <row r="131" spans="2:7">
      <c r="B131" s="41" t="s">
        <v>138</v>
      </c>
      <c r="C131" s="42" t="s">
        <v>138</v>
      </c>
      <c r="D131" s="43" t="s">
        <v>43</v>
      </c>
      <c r="F131" s="14"/>
      <c r="G131" s="49" t="s">
        <v>227</v>
      </c>
    </row>
    <row r="132" spans="2:7">
      <c r="B132" s="39" t="s">
        <v>141</v>
      </c>
      <c r="C132" s="12" t="s">
        <v>141</v>
      </c>
      <c r="D132" s="40" t="s">
        <v>85</v>
      </c>
      <c r="F132" s="14"/>
      <c r="G132" s="49" t="s">
        <v>283</v>
      </c>
    </row>
    <row r="133" spans="2:7">
      <c r="B133" s="39" t="s">
        <v>141</v>
      </c>
      <c r="C133" s="12" t="s">
        <v>215</v>
      </c>
      <c r="D133" s="40" t="s">
        <v>101</v>
      </c>
      <c r="F133" s="14"/>
      <c r="G133" s="49" t="s">
        <v>158</v>
      </c>
    </row>
    <row r="134" spans="2:7">
      <c r="B134" s="39" t="s">
        <v>141</v>
      </c>
      <c r="C134" s="12" t="s">
        <v>284</v>
      </c>
      <c r="D134" s="40" t="s">
        <v>93</v>
      </c>
      <c r="F134" s="14"/>
      <c r="G134" s="49" t="s">
        <v>268</v>
      </c>
    </row>
    <row r="135" spans="2:7">
      <c r="B135" s="39" t="s">
        <v>141</v>
      </c>
      <c r="C135" s="12" t="s">
        <v>120</v>
      </c>
      <c r="D135" s="40" t="s">
        <v>104</v>
      </c>
      <c r="F135" s="14"/>
      <c r="G135" s="49" t="s">
        <v>229</v>
      </c>
    </row>
    <row r="136" spans="2:7">
      <c r="B136" s="39" t="s">
        <v>141</v>
      </c>
      <c r="C136" s="12" t="s">
        <v>161</v>
      </c>
      <c r="D136" s="40" t="s">
        <v>104</v>
      </c>
      <c r="F136" s="14"/>
      <c r="G136" s="49" t="s">
        <v>285</v>
      </c>
    </row>
    <row r="137" spans="2:7">
      <c r="B137" s="39" t="s">
        <v>141</v>
      </c>
      <c r="C137" s="12" t="s">
        <v>225</v>
      </c>
      <c r="D137" s="40" t="s">
        <v>104</v>
      </c>
      <c r="F137" s="14"/>
      <c r="G137" s="49" t="s">
        <v>245</v>
      </c>
    </row>
    <row r="138" spans="2:7">
      <c r="B138" s="39" t="s">
        <v>141</v>
      </c>
      <c r="C138" s="12" t="s">
        <v>264</v>
      </c>
      <c r="D138" s="40" t="s">
        <v>104</v>
      </c>
      <c r="F138" s="14"/>
      <c r="G138" s="49" t="s">
        <v>286</v>
      </c>
    </row>
    <row r="139" spans="2:7">
      <c r="B139" s="39" t="s">
        <v>141</v>
      </c>
      <c r="C139" s="12" t="s">
        <v>287</v>
      </c>
      <c r="D139" s="40" t="s">
        <v>104</v>
      </c>
      <c r="F139" s="14"/>
      <c r="G139" s="49" t="s">
        <v>160</v>
      </c>
    </row>
    <row r="140" spans="2:7">
      <c r="B140" s="41" t="s">
        <v>143</v>
      </c>
      <c r="C140" s="42" t="s">
        <v>143</v>
      </c>
      <c r="D140" s="43" t="s">
        <v>43</v>
      </c>
      <c r="F140" s="14"/>
      <c r="G140" s="49" t="s">
        <v>217</v>
      </c>
    </row>
    <row r="141" spans="2:7">
      <c r="B141" s="41" t="s">
        <v>143</v>
      </c>
      <c r="C141" s="42" t="s">
        <v>288</v>
      </c>
      <c r="D141" s="43" t="s">
        <v>93</v>
      </c>
      <c r="F141" s="14"/>
      <c r="G141" s="49" t="s">
        <v>162</v>
      </c>
    </row>
    <row r="142" spans="2:7">
      <c r="B142" s="39" t="s">
        <v>145</v>
      </c>
      <c r="C142" s="12" t="s">
        <v>145</v>
      </c>
      <c r="D142" s="40" t="s">
        <v>85</v>
      </c>
      <c r="F142" s="14"/>
      <c r="G142" s="49" t="s">
        <v>163</v>
      </c>
    </row>
    <row r="143" spans="2:7">
      <c r="B143" s="39" t="s">
        <v>145</v>
      </c>
      <c r="C143" s="12" t="s">
        <v>221</v>
      </c>
      <c r="D143" s="40" t="s">
        <v>43</v>
      </c>
      <c r="F143" s="14"/>
      <c r="G143" s="49" t="s">
        <v>164</v>
      </c>
    </row>
    <row r="144" spans="2:7">
      <c r="B144" s="39" t="s">
        <v>145</v>
      </c>
      <c r="C144" s="12" t="s">
        <v>278</v>
      </c>
      <c r="D144" s="40" t="s">
        <v>43</v>
      </c>
      <c r="F144" s="14"/>
      <c r="G144" s="49" t="s">
        <v>218</v>
      </c>
    </row>
    <row r="145" spans="1:7">
      <c r="B145" s="39" t="s">
        <v>145</v>
      </c>
      <c r="C145" s="12" t="s">
        <v>223</v>
      </c>
      <c r="D145" s="40" t="s">
        <v>93</v>
      </c>
      <c r="F145" s="14"/>
      <c r="G145" s="49" t="s">
        <v>289</v>
      </c>
    </row>
    <row r="146" spans="1:7">
      <c r="B146" s="39" t="s">
        <v>145</v>
      </c>
      <c r="C146" s="12" t="s">
        <v>290</v>
      </c>
      <c r="D146" s="40" t="s">
        <v>93</v>
      </c>
      <c r="F146" s="14"/>
      <c r="G146" s="49" t="s">
        <v>166</v>
      </c>
    </row>
    <row r="147" spans="1:7">
      <c r="B147" s="39" t="s">
        <v>145</v>
      </c>
      <c r="C147" s="12" t="s">
        <v>285</v>
      </c>
      <c r="D147" s="40" t="s">
        <v>98</v>
      </c>
      <c r="F147" s="14"/>
      <c r="G147" s="49" t="s">
        <v>169</v>
      </c>
    </row>
    <row r="148" spans="1:7">
      <c r="B148" s="39" t="s">
        <v>145</v>
      </c>
      <c r="C148" s="12" t="s">
        <v>291</v>
      </c>
      <c r="D148" s="40" t="s">
        <v>104</v>
      </c>
      <c r="F148" s="14"/>
      <c r="G148" s="49" t="s">
        <v>172</v>
      </c>
    </row>
    <row r="149" spans="1:7">
      <c r="A149"/>
      <c r="B149" s="39" t="s">
        <v>145</v>
      </c>
      <c r="C149" s="12" t="s">
        <v>292</v>
      </c>
      <c r="D149" s="40" t="s">
        <v>104</v>
      </c>
      <c r="F149" s="14"/>
      <c r="G149" s="49" t="s">
        <v>293</v>
      </c>
    </row>
    <row r="150" spans="1:7">
      <c r="A150"/>
      <c r="B150" s="39" t="s">
        <v>145</v>
      </c>
      <c r="C150" s="45" t="s">
        <v>294</v>
      </c>
      <c r="D150" s="40" t="s">
        <v>101</v>
      </c>
      <c r="F150" s="14"/>
      <c r="G150" s="49" t="s">
        <v>295</v>
      </c>
    </row>
    <row r="151" spans="1:7">
      <c r="A151"/>
      <c r="B151" s="41" t="s">
        <v>146</v>
      </c>
      <c r="C151" s="42" t="s">
        <v>240</v>
      </c>
      <c r="D151" s="43" t="s">
        <v>85</v>
      </c>
      <c r="F151" s="14"/>
      <c r="G151" s="49" t="s">
        <v>296</v>
      </c>
    </row>
    <row r="152" spans="1:7">
      <c r="A152"/>
      <c r="B152" s="41" t="s">
        <v>146</v>
      </c>
      <c r="C152" s="42" t="s">
        <v>197</v>
      </c>
      <c r="D152" s="43" t="s">
        <v>104</v>
      </c>
      <c r="F152" s="14"/>
      <c r="G152" s="49" t="s">
        <v>297</v>
      </c>
    </row>
    <row r="153" spans="1:7">
      <c r="A153"/>
      <c r="B153" s="41" t="s">
        <v>146</v>
      </c>
      <c r="C153" s="42" t="s">
        <v>219</v>
      </c>
      <c r="D153" s="43" t="s">
        <v>104</v>
      </c>
      <c r="F153" s="14"/>
      <c r="G153" s="49" t="s">
        <v>291</v>
      </c>
    </row>
    <row r="154" spans="1:7">
      <c r="B154" s="41" t="s">
        <v>146</v>
      </c>
      <c r="C154" s="42" t="s">
        <v>255</v>
      </c>
      <c r="D154" s="43" t="s">
        <v>104</v>
      </c>
      <c r="F154" s="14"/>
      <c r="G154" s="49" t="s">
        <v>298</v>
      </c>
    </row>
    <row r="155" spans="1:7">
      <c r="B155" s="41" t="s">
        <v>146</v>
      </c>
      <c r="C155" s="42" t="s">
        <v>250</v>
      </c>
      <c r="D155" s="43" t="s">
        <v>104</v>
      </c>
      <c r="F155" s="14"/>
      <c r="G155" s="49" t="s">
        <v>299</v>
      </c>
    </row>
    <row r="156" spans="1:7">
      <c r="B156" s="41" t="s">
        <v>146</v>
      </c>
      <c r="C156" s="42" t="s">
        <v>300</v>
      </c>
      <c r="D156" s="43" t="s">
        <v>104</v>
      </c>
      <c r="F156" s="14"/>
      <c r="G156" s="49" t="s">
        <v>189</v>
      </c>
    </row>
    <row r="157" spans="1:7">
      <c r="B157" s="39" t="s">
        <v>149</v>
      </c>
      <c r="C157" s="12" t="s">
        <v>149</v>
      </c>
      <c r="D157" s="40" t="s">
        <v>85</v>
      </c>
      <c r="F157" s="14"/>
      <c r="G157" s="49" t="s">
        <v>301</v>
      </c>
    </row>
    <row r="158" spans="1:7">
      <c r="B158" s="39" t="s">
        <v>149</v>
      </c>
      <c r="C158" s="12" t="s">
        <v>182</v>
      </c>
      <c r="D158" s="40" t="s">
        <v>93</v>
      </c>
      <c r="F158" s="14"/>
      <c r="G158" s="49" t="s">
        <v>191</v>
      </c>
    </row>
    <row r="159" spans="1:7">
      <c r="B159" s="39" t="s">
        <v>149</v>
      </c>
      <c r="C159" s="12" t="s">
        <v>184</v>
      </c>
      <c r="D159" s="40" t="s">
        <v>93</v>
      </c>
      <c r="F159" s="14"/>
      <c r="G159" s="49" t="s">
        <v>235</v>
      </c>
    </row>
    <row r="160" spans="1:7">
      <c r="B160" s="39" t="s">
        <v>149</v>
      </c>
      <c r="C160" s="12" t="s">
        <v>302</v>
      </c>
      <c r="D160" s="40" t="s">
        <v>93</v>
      </c>
      <c r="F160" s="14"/>
      <c r="G160" s="49" t="s">
        <v>192</v>
      </c>
    </row>
    <row r="161" spans="2:7">
      <c r="B161" s="39" t="s">
        <v>149</v>
      </c>
      <c r="C161" s="12" t="s">
        <v>303</v>
      </c>
      <c r="D161" s="40" t="s">
        <v>93</v>
      </c>
      <c r="F161" s="14"/>
      <c r="G161" s="49" t="s">
        <v>247</v>
      </c>
    </row>
    <row r="162" spans="2:7">
      <c r="B162" s="39" t="s">
        <v>149</v>
      </c>
      <c r="C162" s="12" t="s">
        <v>301</v>
      </c>
      <c r="D162" s="40" t="s">
        <v>101</v>
      </c>
      <c r="F162" s="14"/>
      <c r="G162" s="49" t="s">
        <v>175</v>
      </c>
    </row>
    <row r="163" spans="2:7">
      <c r="B163" s="39" t="s">
        <v>149</v>
      </c>
      <c r="C163" s="12" t="s">
        <v>112</v>
      </c>
      <c r="D163" s="40" t="s">
        <v>104</v>
      </c>
      <c r="F163" s="14"/>
      <c r="G163" s="49" t="s">
        <v>300</v>
      </c>
    </row>
    <row r="164" spans="2:7">
      <c r="B164" s="39" t="s">
        <v>149</v>
      </c>
      <c r="C164" s="12" t="s">
        <v>272</v>
      </c>
      <c r="D164" s="40" t="s">
        <v>104</v>
      </c>
      <c r="F164" s="14"/>
      <c r="G164" s="49" t="s">
        <v>95</v>
      </c>
    </row>
    <row r="165" spans="2:7">
      <c r="B165" s="39" t="s">
        <v>149</v>
      </c>
      <c r="C165" s="12" t="s">
        <v>276</v>
      </c>
      <c r="D165" s="40" t="s">
        <v>104</v>
      </c>
      <c r="F165" s="14"/>
      <c r="G165" s="49" t="s">
        <v>304</v>
      </c>
    </row>
    <row r="166" spans="2:7">
      <c r="B166" s="39" t="s">
        <v>149</v>
      </c>
      <c r="C166" s="12" t="s">
        <v>299</v>
      </c>
      <c r="D166" s="40" t="s">
        <v>104</v>
      </c>
      <c r="F166" s="14"/>
      <c r="G166" s="49" t="s">
        <v>193</v>
      </c>
    </row>
    <row r="167" spans="2:7">
      <c r="B167" s="39" t="s">
        <v>149</v>
      </c>
      <c r="C167" s="12" t="s">
        <v>304</v>
      </c>
      <c r="D167" s="40" t="s">
        <v>104</v>
      </c>
      <c r="F167" s="14"/>
      <c r="G167" s="49" t="s">
        <v>211</v>
      </c>
    </row>
    <row r="168" spans="2:7">
      <c r="B168" s="41" t="s">
        <v>151</v>
      </c>
      <c r="C168" s="42" t="s">
        <v>151</v>
      </c>
      <c r="D168" s="43" t="s">
        <v>85</v>
      </c>
      <c r="F168" s="14"/>
      <c r="G168" s="49" t="s">
        <v>153</v>
      </c>
    </row>
    <row r="169" spans="2:7">
      <c r="B169" s="41" t="s">
        <v>151</v>
      </c>
      <c r="C169" s="42" t="s">
        <v>237</v>
      </c>
      <c r="D169" s="43" t="s">
        <v>43</v>
      </c>
      <c r="F169" s="14"/>
      <c r="G169" s="49" t="s">
        <v>220</v>
      </c>
    </row>
    <row r="170" spans="2:7">
      <c r="B170" s="41" t="s">
        <v>151</v>
      </c>
      <c r="C170" s="42" t="s">
        <v>296</v>
      </c>
      <c r="D170" s="43" t="s">
        <v>93</v>
      </c>
      <c r="F170" s="14"/>
      <c r="G170" s="49" t="s">
        <v>194</v>
      </c>
    </row>
    <row r="171" spans="2:7">
      <c r="B171" s="41" t="s">
        <v>151</v>
      </c>
      <c r="C171" s="42" t="s">
        <v>297</v>
      </c>
      <c r="D171" s="43" t="s">
        <v>93</v>
      </c>
      <c r="F171" s="14"/>
      <c r="G171" s="49" t="s">
        <v>196</v>
      </c>
    </row>
    <row r="172" spans="2:7">
      <c r="B172" s="41" t="s">
        <v>151</v>
      </c>
      <c r="C172" s="42" t="s">
        <v>205</v>
      </c>
      <c r="D172" s="43" t="s">
        <v>104</v>
      </c>
      <c r="F172" s="14"/>
      <c r="G172" s="49" t="s">
        <v>212</v>
      </c>
    </row>
    <row r="173" spans="2:7">
      <c r="B173" s="41" t="s">
        <v>151</v>
      </c>
      <c r="C173" s="42" t="s">
        <v>242</v>
      </c>
      <c r="D173" s="43" t="s">
        <v>104</v>
      </c>
      <c r="F173" s="14"/>
      <c r="G173" s="49" t="s">
        <v>222</v>
      </c>
    </row>
    <row r="174" spans="2:7">
      <c r="B174" s="41" t="s">
        <v>151</v>
      </c>
      <c r="C174" s="42" t="s">
        <v>246</v>
      </c>
      <c r="D174" s="43" t="s">
        <v>104</v>
      </c>
      <c r="F174" s="14"/>
      <c r="G174" s="49" t="s">
        <v>302</v>
      </c>
    </row>
    <row r="175" spans="2:7">
      <c r="B175" s="41" t="s">
        <v>151</v>
      </c>
      <c r="C175" s="42" t="s">
        <v>259</v>
      </c>
      <c r="D175" s="43" t="s">
        <v>104</v>
      </c>
      <c r="F175" s="14"/>
      <c r="G175" s="49" t="s">
        <v>198</v>
      </c>
    </row>
    <row r="176" spans="2:7">
      <c r="B176" s="41" t="s">
        <v>151</v>
      </c>
      <c r="C176" s="42" t="s">
        <v>298</v>
      </c>
      <c r="D176" s="43" t="s">
        <v>104</v>
      </c>
      <c r="F176" s="14"/>
      <c r="G176" s="49" t="s">
        <v>214</v>
      </c>
    </row>
    <row r="177" spans="2:7">
      <c r="B177" s="41" t="s">
        <v>151</v>
      </c>
      <c r="C177" s="42" t="s">
        <v>305</v>
      </c>
      <c r="D177" s="43" t="s">
        <v>104</v>
      </c>
      <c r="F177" s="14"/>
      <c r="G177" s="49" t="s">
        <v>306</v>
      </c>
    </row>
    <row r="178" spans="2:7">
      <c r="B178" s="39" t="s">
        <v>154</v>
      </c>
      <c r="C178" s="12" t="s">
        <v>154</v>
      </c>
      <c r="D178" s="40" t="s">
        <v>85</v>
      </c>
      <c r="F178" s="14"/>
      <c r="G178" s="49" t="s">
        <v>140</v>
      </c>
    </row>
    <row r="179" spans="2:7">
      <c r="B179" s="39" t="s">
        <v>154</v>
      </c>
      <c r="C179" s="12" t="s">
        <v>176</v>
      </c>
      <c r="D179" s="40" t="s">
        <v>93</v>
      </c>
      <c r="F179" s="14"/>
      <c r="G179" s="49" t="s">
        <v>178</v>
      </c>
    </row>
    <row r="180" spans="2:7">
      <c r="B180" s="39" t="s">
        <v>154</v>
      </c>
      <c r="C180" s="12" t="s">
        <v>234</v>
      </c>
      <c r="D180" s="40" t="s">
        <v>93</v>
      </c>
      <c r="F180" s="14"/>
      <c r="G180" s="49" t="s">
        <v>273</v>
      </c>
    </row>
    <row r="181" spans="2:7">
      <c r="B181" s="39" t="s">
        <v>154</v>
      </c>
      <c r="C181" s="12" t="s">
        <v>238</v>
      </c>
      <c r="D181" s="40" t="s">
        <v>93</v>
      </c>
      <c r="F181" s="14"/>
      <c r="G181" s="49" t="s">
        <v>156</v>
      </c>
    </row>
    <row r="182" spans="2:7">
      <c r="B182" s="39" t="s">
        <v>154</v>
      </c>
      <c r="C182" s="12" t="s">
        <v>260</v>
      </c>
      <c r="D182" s="40" t="s">
        <v>93</v>
      </c>
      <c r="F182" s="14"/>
      <c r="G182" s="49" t="s">
        <v>269</v>
      </c>
    </row>
    <row r="183" spans="2:7">
      <c r="B183" s="39" t="s">
        <v>154</v>
      </c>
      <c r="C183" s="12" t="s">
        <v>289</v>
      </c>
      <c r="D183" s="40" t="s">
        <v>93</v>
      </c>
      <c r="F183" s="14"/>
      <c r="G183" s="49" t="s">
        <v>270</v>
      </c>
    </row>
    <row r="184" spans="2:7">
      <c r="B184" s="39" t="s">
        <v>154</v>
      </c>
      <c r="C184" s="12" t="s">
        <v>152</v>
      </c>
      <c r="D184" s="40" t="s">
        <v>104</v>
      </c>
      <c r="F184" s="14"/>
      <c r="G184" s="49" t="s">
        <v>200</v>
      </c>
    </row>
    <row r="185" spans="2:7">
      <c r="B185" s="39" t="s">
        <v>154</v>
      </c>
      <c r="C185" s="12" t="s">
        <v>173</v>
      </c>
      <c r="D185" s="40" t="s">
        <v>104</v>
      </c>
      <c r="F185" s="14"/>
      <c r="G185" s="49" t="s">
        <v>231</v>
      </c>
    </row>
    <row r="186" spans="2:7">
      <c r="B186" s="39" t="s">
        <v>154</v>
      </c>
      <c r="C186" s="12" t="s">
        <v>253</v>
      </c>
      <c r="D186" s="40" t="s">
        <v>104</v>
      </c>
      <c r="F186" s="14"/>
      <c r="G186" s="49" t="s">
        <v>290</v>
      </c>
    </row>
    <row r="187" spans="2:7">
      <c r="B187" s="39" t="s">
        <v>154</v>
      </c>
      <c r="C187" s="12" t="s">
        <v>258</v>
      </c>
      <c r="D187" s="40" t="s">
        <v>104</v>
      </c>
      <c r="F187" s="14"/>
      <c r="G187" s="49" t="s">
        <v>294</v>
      </c>
    </row>
    <row r="188" spans="2:7">
      <c r="B188" s="39" t="s">
        <v>154</v>
      </c>
      <c r="C188" s="12" t="s">
        <v>261</v>
      </c>
      <c r="D188" s="40" t="s">
        <v>104</v>
      </c>
      <c r="F188" s="14"/>
      <c r="G188" s="49" t="s">
        <v>274</v>
      </c>
    </row>
    <row r="189" spans="2:7">
      <c r="B189" s="39" t="s">
        <v>154</v>
      </c>
      <c r="C189" s="12" t="s">
        <v>295</v>
      </c>
      <c r="D189" s="40" t="s">
        <v>104</v>
      </c>
      <c r="F189" s="14"/>
      <c r="G189" s="49" t="s">
        <v>303</v>
      </c>
    </row>
    <row r="190" spans="2:7">
      <c r="B190" s="39" t="s">
        <v>154</v>
      </c>
      <c r="C190" s="12" t="s">
        <v>307</v>
      </c>
      <c r="D190" s="40" t="s">
        <v>104</v>
      </c>
      <c r="F190" s="14"/>
      <c r="G190" s="49" t="s">
        <v>292</v>
      </c>
    </row>
    <row r="191" spans="2:7">
      <c r="B191" s="41" t="s">
        <v>157</v>
      </c>
      <c r="C191" s="42" t="s">
        <v>157</v>
      </c>
      <c r="D191" s="43" t="s">
        <v>43</v>
      </c>
      <c r="F191" s="14"/>
      <c r="G191" s="49" t="s">
        <v>257</v>
      </c>
    </row>
    <row r="192" spans="2:7">
      <c r="B192" s="39" t="s">
        <v>158</v>
      </c>
      <c r="C192" s="12" t="s">
        <v>158</v>
      </c>
      <c r="D192" s="40" t="s">
        <v>85</v>
      </c>
      <c r="F192" s="14"/>
      <c r="G192" s="49" t="s">
        <v>254</v>
      </c>
    </row>
    <row r="193" spans="2:7">
      <c r="B193" s="39" t="s">
        <v>158</v>
      </c>
      <c r="C193" s="12" t="s">
        <v>306</v>
      </c>
      <c r="D193" s="40" t="s">
        <v>104</v>
      </c>
      <c r="F193" s="14"/>
      <c r="G193" s="49" t="s">
        <v>202</v>
      </c>
    </row>
    <row r="194" spans="2:7">
      <c r="B194" s="39" t="s">
        <v>158</v>
      </c>
      <c r="C194" s="12" t="s">
        <v>283</v>
      </c>
      <c r="D194" s="40" t="s">
        <v>104</v>
      </c>
      <c r="F194" s="14"/>
      <c r="G194" s="49" t="s">
        <v>42</v>
      </c>
    </row>
    <row r="195" spans="2:7">
      <c r="B195" s="39" t="s">
        <v>158</v>
      </c>
      <c r="C195" s="12" t="s">
        <v>293</v>
      </c>
      <c r="D195" s="40" t="s">
        <v>104</v>
      </c>
      <c r="F195" s="14"/>
      <c r="G195" s="49" t="s">
        <v>181</v>
      </c>
    </row>
    <row r="196" spans="2:7">
      <c r="B196" s="41" t="s">
        <v>160</v>
      </c>
      <c r="C196" s="42" t="s">
        <v>160</v>
      </c>
      <c r="D196" s="43" t="s">
        <v>43</v>
      </c>
      <c r="F196" s="14"/>
      <c r="G196" s="49" t="s">
        <v>288</v>
      </c>
    </row>
    <row r="197" spans="2:7">
      <c r="B197" s="39" t="s">
        <v>162</v>
      </c>
      <c r="C197" s="12" t="s">
        <v>162</v>
      </c>
      <c r="D197" s="40" t="s">
        <v>43</v>
      </c>
      <c r="F197" s="14"/>
      <c r="G197" s="49" t="s">
        <v>305</v>
      </c>
    </row>
    <row r="198" spans="2:7">
      <c r="B198" s="41" t="s">
        <v>163</v>
      </c>
      <c r="C198" s="42" t="s">
        <v>163</v>
      </c>
      <c r="D198" s="43" t="s">
        <v>43</v>
      </c>
      <c r="F198" s="14"/>
      <c r="G198" s="49" t="s">
        <v>263</v>
      </c>
    </row>
    <row r="199" spans="2:7">
      <c r="B199" s="39" t="s">
        <v>164</v>
      </c>
      <c r="C199" s="12" t="s">
        <v>164</v>
      </c>
      <c r="D199" s="40" t="s">
        <v>43</v>
      </c>
      <c r="F199" s="14"/>
      <c r="G199" s="49" t="s">
        <v>236</v>
      </c>
    </row>
    <row r="200" spans="2:7">
      <c r="B200" s="41" t="s">
        <v>166</v>
      </c>
      <c r="C200" s="42" t="s">
        <v>166</v>
      </c>
      <c r="D200" s="43" t="s">
        <v>85</v>
      </c>
      <c r="F200" s="14"/>
      <c r="G200" s="49" t="s">
        <v>204</v>
      </c>
    </row>
    <row r="201" spans="2:7">
      <c r="B201" s="39" t="s">
        <v>169</v>
      </c>
      <c r="C201" s="12" t="s">
        <v>169</v>
      </c>
      <c r="D201" s="40" t="s">
        <v>85</v>
      </c>
      <c r="F201" s="14"/>
      <c r="G201" s="49" t="s">
        <v>206</v>
      </c>
    </row>
    <row r="202" spans="2:7">
      <c r="B202" s="41" t="s">
        <v>172</v>
      </c>
      <c r="C202" s="42" t="s">
        <v>172</v>
      </c>
      <c r="D202" s="43" t="s">
        <v>43</v>
      </c>
      <c r="F202" s="14"/>
      <c r="G202" s="49" t="s">
        <v>208</v>
      </c>
    </row>
    <row r="203" spans="2:7">
      <c r="B203" s="39" t="s">
        <v>175</v>
      </c>
      <c r="C203" s="12" t="s">
        <v>175</v>
      </c>
      <c r="D203" s="40" t="s">
        <v>43</v>
      </c>
      <c r="F203" s="14"/>
      <c r="G203" s="49" t="s">
        <v>210</v>
      </c>
    </row>
    <row r="204" spans="2:7">
      <c r="B204" s="41" t="s">
        <v>178</v>
      </c>
      <c r="C204" s="42" t="s">
        <v>178</v>
      </c>
      <c r="D204" s="43" t="s">
        <v>43</v>
      </c>
      <c r="F204" s="14"/>
      <c r="G204" s="49" t="s">
        <v>287</v>
      </c>
    </row>
    <row r="205" spans="2:7">
      <c r="B205" s="39" t="s">
        <v>42</v>
      </c>
      <c r="C205" s="12" t="s">
        <v>42</v>
      </c>
      <c r="D205" s="40" t="s">
        <v>43</v>
      </c>
      <c r="F205" s="14"/>
      <c r="G205" s="49" t="s">
        <v>284</v>
      </c>
    </row>
    <row r="206" spans="2:7">
      <c r="B206" s="39" t="s">
        <v>42</v>
      </c>
      <c r="C206" s="12" t="s">
        <v>286</v>
      </c>
      <c r="D206" s="40" t="s">
        <v>101</v>
      </c>
      <c r="F206" s="14"/>
      <c r="G206" s="61" t="s">
        <v>307</v>
      </c>
    </row>
    <row r="207" spans="2:7">
      <c r="B207" s="46" t="s">
        <v>181</v>
      </c>
      <c r="C207" s="47" t="s">
        <v>181</v>
      </c>
      <c r="D207" s="48" t="s">
        <v>43</v>
      </c>
      <c r="F207" s="14"/>
      <c r="G207" s="49" t="s">
        <v>308</v>
      </c>
    </row>
    <row r="208" spans="2:7">
      <c r="F208" s="14"/>
    </row>
    <row r="209" spans="6:6">
      <c r="F209" s="14"/>
    </row>
    <row r="210" spans="6:6">
      <c r="F210" s="14"/>
    </row>
    <row r="211" spans="6:6">
      <c r="F211" s="14"/>
    </row>
    <row r="212" spans="6:6">
      <c r="F212" s="14"/>
    </row>
    <row r="213" spans="6:6">
      <c r="F213" s="14"/>
    </row>
    <row r="214" spans="6:6">
      <c r="F214" s="14"/>
    </row>
    <row r="215" spans="6:6">
      <c r="F215" s="14"/>
    </row>
    <row r="216" spans="6:6">
      <c r="F216" s="14"/>
    </row>
    <row r="217" spans="6:6">
      <c r="F217" s="14"/>
    </row>
    <row r="218" spans="6:6">
      <c r="F218" s="14"/>
    </row>
    <row r="219" spans="6:6">
      <c r="F219" s="14"/>
    </row>
    <row r="220" spans="6:6">
      <c r="F220" s="14"/>
    </row>
  </sheetData>
  <sheetProtection algorithmName="SHA-512" hashValue="LYScPGGeTr369RzUhu7236nBaGSZZt/dyhagCpKsPDnhcjPNjCNXE7PbYcHuKJ9gR9CM9I1N3Yd04n/q4N2j0w==" saltValue="gexQhwZdD1ccAxfrkQ7iLA==" spinCount="100000" sheet="1" objects="1" scenarios="1"/>
  <sortState xmlns:xlrd2="http://schemas.microsoft.com/office/spreadsheetml/2017/richdata2" ref="G2:G208">
    <sortCondition ref="G208"/>
  </sortState>
  <dataValidations count="1">
    <dataValidation operator="lessThanOrEqual" allowBlank="1" showInputMessage="1" showErrorMessage="1" error="FTE cannot be greater than Headcount_x000a_" sqref="I128:I1048576 I92:I126 G1:I1 F38:F39 G209:G220 G223:G1048576 B1:D8 B147:B159 D67 B97:D97 B98 D98 B99:D103 B104:B107 C105:D105 D104 B139 D147:D148 B108:C138 B163:D165 D159 B166 D166 B162 D162 D180 D189 B180 B189 B181:D188 D194 B194 B218:D1048576 B190:D193 C68:D74 B167:D179 D89:D96 D106:D138 B160:D161 C149:D158 B195:D207 C14:C33 F1:F36 G2:G29 F127:F1048576 E128:E1048576 E92:E126 F41:F81 E1:E82 B75:D88 I4:I11 I13:I14 I16:I82 B9:B11 B14:B34 D9:D11 D14:D34 C10 B12:D13 B35:D66 G31:G81 G126:G207 B140:D146 G117:G124 F91:G116 F117:F125"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abel version="1.0">
  <element uid="id_newpolicy" value=""/>
  <element uid="id_unclassified" value=""/>
</labe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TaxCatchAll xmlns="96a98433-1569-4222-be80-afd48d89a184" xsi:nil="true"/>
    <ReferenceNumber xmlns="3aeeece8-b15a-4c45-88bc-5078a17e9f04">GR-5821</ReferenceNumber>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81d2934147451fb3e34f0707bb36dad0">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22123f67d703c59f21d0e02debdd115d"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1D0C9D-6E95-4B83-A24C-DBB88948A6BC}"/>
</file>

<file path=customXml/itemProps2.xml><?xml version="1.0" encoding="utf-8"?>
<ds:datastoreItem xmlns:ds="http://schemas.openxmlformats.org/officeDocument/2006/customXml" ds:itemID="{23C97B82-EABE-4088-9514-83B40D0E2223}"/>
</file>

<file path=customXml/itemProps3.xml><?xml version="1.0" encoding="utf-8"?>
<ds:datastoreItem xmlns:ds="http://schemas.openxmlformats.org/officeDocument/2006/customXml" ds:itemID="{6356013D-AD00-4517-AEDC-B12FDD945D74}"/>
</file>

<file path=customXml/itemProps4.xml><?xml version="1.0" encoding="utf-8"?>
<ds:datastoreItem xmlns:ds="http://schemas.openxmlformats.org/officeDocument/2006/customXml" ds:itemID="{346FA335-7FCB-4AD4-A246-2F069EC32104}"/>
</file>

<file path=docProps/app.xml><?xml version="1.0" encoding="utf-8"?>
<Properties xmlns="http://schemas.openxmlformats.org/officeDocument/2006/extended-properties" xmlns:vt="http://schemas.openxmlformats.org/officeDocument/2006/docPropsVTypes">
  <Application>Microsoft Excel Online</Application>
  <Manager/>
  <Company>Flex</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Aug-26_MWMI_updated_template.xlsx</dc:title>
  <dc:subject/>
  <dc:creator>Soham Patel</dc:creator>
  <cp:keywords/>
  <dc:description/>
  <cp:lastModifiedBy/>
  <cp:revision/>
  <dcterms:created xsi:type="dcterms:W3CDTF">2011-03-30T15:28:39Z</dcterms:created>
  <dcterms:modified xsi:type="dcterms:W3CDTF">2026-09-10T11:32:30Z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0x010100F60F967318F2014E9F4ABA5ABBF62408</vt:lpwstr>
  </property>
  <property fmtid="{D5CDD505-2E9C-101B-9397-08002B2CF9AE}" pid="16" name="MediaServiceImageTags">
    <vt:lpwstr/>
  </property>
</Properties>
</file>