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FB9737CB-71A3-417B-9C56-700B0721A4D2}"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Comments Tab" sheetId="42" state="hidden" r:id="rId2"/>
    <sheet name="Data fields" sheetId="40" state="hidden" r:id="rId3"/>
    <sheet name="Organisations list" sheetId="39" state="hidden"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<sst xmlns="http://schemas.openxmlformats.org/spreadsheetml/2006/main" count="1045" uniqueCount="309">
  <si>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</si>
  <si>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</si>
  <si>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</si>
  <si>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</si>
  <si>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</si>
  <si>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</si>
  <si>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</si>
  <si>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</si>
  <si>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</si>
  <si>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</si>
  <si>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</si>
  <si>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</si>
  <si>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</si>
  <si>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</si>
  <si>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</si>
  <si>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</si>
  <si>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</si>
  <si>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</si>
  <si>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</si>
  <si>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</si>
  <si>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</si>
  <si>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</si>
  <si>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</si>
  <si>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</si>
  <si>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</si>
  <si>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</si>
  <si>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</si>
  <si>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</si>
  <si>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</si>
  <si>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</si>
  <si>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</si>
  <si>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</si>
  <si>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</si>
  <si>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</si>
  <si>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</si>
  <si>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</si>
  <si>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</si>
  <si>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</si>
  <si>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</si>
  <si>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</si>
  <si>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</si>
  <si>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November</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</si>
  <si>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</si>
  <si>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</si>
  <si>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</si>
  <si>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</si>
  <si>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</si>
  <si>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</si>
  <si>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</si>
  <si>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</si>
  <si>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</si>
  <si>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</si>
  <si>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</si>
  <si>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</si>
  <si>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</si>
  <si>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</si>
  <si>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</si>
  <si>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</si>
  <si>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</si>
  <si>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</si>
  <si>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</si>
  <si>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</si>
  <si>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</si>
  <si>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</si>
  <si>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</si>
  <si>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</si>
  <si>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</si>
  <si>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</si>
  <si>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</si>
  <si>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</si>
  <si>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December</t>
  </si>
  <si>
    <t>January</t>
  </si>
  <si>
    <t>February</t>
  </si>
  <si>
    <t>March</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</si>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</sst>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D2" activePane="bottomRight" state="frozen"/>
      <selection pane="topRight" activeCell="D1" sqref="D1"/>
      <selection pane="bottomLeft" activeCell="A2" sqref="A2"/>
      <selection pane="bottomRight" activeCell="P13" sqref="P13"/>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2023</v>
      </c>
      <c r="B2" s="12" t="s">
        <v>73</v>
      </c>
      <c r="C2" s="11" t="s">
        <v>42</v>
      </c>
      <c r="D2" s="11" t="s">
        <v>43</v>
      </c>
      <c r="E2" s="11" t="s">
        <v>42</v>
      </c>
      <c r="F2" s="23">
        <v>138</v>
      </c>
      <c r="G2" s="23">
        <v>126.42415</v>
      </c>
      <c r="H2" s="23">
        <v>601</v>
      </c>
      <c r="I2" s="23">
        <v>578.83951999999977</v>
      </c>
      <c r="J2" s="23">
        <v>3130</v>
      </c>
      <c r="K2" s="23">
        <v>3028.2678100000003</v>
      </c>
      <c r="L2" s="23">
        <v>2259</v>
      </c>
      <c r="M2" s="23">
        <v>2185.55197</v>
      </c>
      <c r="N2" s="23">
        <v>191</v>
      </c>
      <c r="O2" s="23">
        <v>185.81775000000005</v>
      </c>
      <c r="P2" s="23">
        <v>19</v>
      </c>
      <c r="Q2" s="23">
        <v>19</v>
      </c>
      <c r="R2" s="5">
        <f>SUM(F2,H2,J2,L2,N2,P2)</f>
        <v>6338</v>
      </c>
      <c r="S2" s="5">
        <f>SUM(G2,I2,K2,M2,O2,Q2)</f>
        <v>6123.9012000000002</v>
      </c>
      <c r="T2" s="4">
        <v>35</v>
      </c>
      <c r="U2" s="23">
        <v>34.5</v>
      </c>
      <c r="V2" s="4">
        <v>341</v>
      </c>
      <c r="W2" s="23">
        <v>339.40000000000003</v>
      </c>
      <c r="X2" s="23">
        <v>0</v>
      </c>
      <c r="Y2" s="23">
        <v>0</v>
      </c>
      <c r="Z2" s="31">
        <f>SUM(T2,V2,X2)</f>
        <v>376</v>
      </c>
      <c r="AA2" s="31">
        <f>SUM(U2,W2,Y2)</f>
        <v>373.90000000000003</v>
      </c>
      <c r="AB2" s="47">
        <v>28</v>
      </c>
      <c r="AC2" s="6">
        <f>R2+Z2</f>
        <v>6714</v>
      </c>
      <c r="AD2" s="6">
        <f t="shared" ref="AD2:AD40" si="0">S2+AA2</f>
        <v>6497.8011999999999</v>
      </c>
      <c r="AE2" s="7">
        <v>26676090</v>
      </c>
      <c r="AF2" s="7">
        <v>950529</v>
      </c>
      <c r="AG2" s="7">
        <v>52304</v>
      </c>
      <c r="AH2" s="7">
        <v>121102</v>
      </c>
      <c r="AI2" s="7">
        <v>5929735</v>
      </c>
      <c r="AJ2" s="7">
        <v>2516660</v>
      </c>
      <c r="AK2" s="8">
        <f>SUM(AE2:AJ2)</f>
        <v>36246420</v>
      </c>
      <c r="AL2" s="9">
        <v>5883518</v>
      </c>
      <c r="AM2" s="9">
        <v>3054047</v>
      </c>
      <c r="AN2" s="10">
        <f>SUM(AL2:AM2)</f>
        <v>8937565</v>
      </c>
      <c r="AO2" s="8">
        <f>SUM(AN2,AK2)</f>
        <v>45183985</v>
      </c>
    </row>
    <row r="3" spans="1:41" ht="30" x14ac:dyDescent="0.2">
      <c r="A3" s="12">
        <v>2023</v>
      </c>
      <c r="B3" s="12" t="s">
        <v>73</v>
      </c>
      <c r="C3" s="11" t="s">
        <v>44</v>
      </c>
      <c r="D3" s="11" t="s">
        <v>45</v>
      </c>
      <c r="E3" s="11" t="s">
        <v>42</v>
      </c>
      <c r="F3" s="23">
        <v>1026</v>
      </c>
      <c r="G3" s="23">
        <v>963.05810999999881</v>
      </c>
      <c r="H3" s="23">
        <v>833</v>
      </c>
      <c r="I3" s="23">
        <v>797.93774999999914</v>
      </c>
      <c r="J3" s="23">
        <v>987</v>
      </c>
      <c r="K3" s="23">
        <v>942.32025999999985</v>
      </c>
      <c r="L3" s="23">
        <v>230</v>
      </c>
      <c r="M3" s="23">
        <v>222.51415000000003</v>
      </c>
      <c r="N3" s="23">
        <v>7</v>
      </c>
      <c r="O3" s="23">
        <v>7</v>
      </c>
      <c r="P3" s="23">
        <v>14</v>
      </c>
      <c r="Q3" s="23">
        <v>14</v>
      </c>
      <c r="R3" s="5">
        <f>SUM(F3,H3,J3,L3,N3,P3)</f>
        <v>3097</v>
      </c>
      <c r="S3" s="5">
        <f t="shared" ref="S3:S40" si="1">SUM(G3,I3,K3,M3,O3,Q3)</f>
        <v>2946.8302699999977</v>
      </c>
      <c r="T3" s="4">
        <v>115</v>
      </c>
      <c r="U3" s="4">
        <v>115</v>
      </c>
      <c r="V3" s="4">
        <v>63</v>
      </c>
      <c r="W3" s="4">
        <v>63</v>
      </c>
      <c r="X3" s="4">
        <v>0</v>
      </c>
      <c r="Y3" s="23">
        <v>0</v>
      </c>
      <c r="Z3" s="31">
        <f t="shared" ref="Z3:Z40" si="2">SUM(T3,V3,X3)</f>
        <v>178</v>
      </c>
      <c r="AA3" s="31">
        <f t="shared" ref="AA3:AA40" si="3">SUM(U3,W3,Y3)</f>
        <v>178</v>
      </c>
      <c r="AB3" s="47">
        <v>3</v>
      </c>
      <c r="AC3" s="6">
        <f t="shared" ref="AC3:AC40" si="4">R3+Z3</f>
        <v>3275</v>
      </c>
      <c r="AD3" s="6">
        <f t="shared" si="0"/>
        <v>3124.8302699999977</v>
      </c>
      <c r="AE3" s="7">
        <v>7452626.2800000217</v>
      </c>
      <c r="AF3" s="7">
        <v>334388.71999999945</v>
      </c>
      <c r="AG3" s="7">
        <v>30950</v>
      </c>
      <c r="AH3" s="7">
        <v>344986.98999999982</v>
      </c>
      <c r="AI3" s="7">
        <v>2067430.3999999959</v>
      </c>
      <c r="AJ3" s="7">
        <v>798820.09000000276</v>
      </c>
      <c r="AK3" s="8">
        <f t="shared" ref="AK3:AK40" si="5">SUM(AE3:AJ3)</f>
        <v>11029202.480000021</v>
      </c>
      <c r="AL3" s="9">
        <v>2599277.5099999998</v>
      </c>
      <c r="AM3" s="9">
        <v>101539</v>
      </c>
      <c r="AN3" s="10">
        <f t="shared" ref="AN3:AN40" si="6">SUM(AL3:AM3)</f>
        <v>2700816.51</v>
      </c>
      <c r="AO3" s="8">
        <f t="shared" ref="AO3:AO40" si="7">SUM(AN3,AK3)</f>
        <v>13730018.990000021</v>
      </c>
    </row>
    <row r="4" spans="1:41" ht="30" x14ac:dyDescent="0.2">
      <c r="A4" s="12">
        <v>2023</v>
      </c>
      <c r="B4" s="12" t="s">
        <v>73</v>
      </c>
      <c r="C4" s="11" t="s">
        <v>46</v>
      </c>
      <c r="D4" s="11" t="s">
        <v>45</v>
      </c>
      <c r="E4" s="11" t="s">
        <v>42</v>
      </c>
      <c r="F4" s="23">
        <v>23</v>
      </c>
      <c r="G4" s="23">
        <v>20.9</v>
      </c>
      <c r="H4" s="23">
        <v>149</v>
      </c>
      <c r="I4" s="23">
        <v>138.29</v>
      </c>
      <c r="J4" s="23">
        <v>349</v>
      </c>
      <c r="K4" s="23">
        <v>332.32</v>
      </c>
      <c r="L4" s="23">
        <v>133</v>
      </c>
      <c r="M4" s="23">
        <v>127.96</v>
      </c>
      <c r="N4" s="23">
        <v>5</v>
      </c>
      <c r="O4" s="23">
        <v>5</v>
      </c>
      <c r="P4" s="23">
        <v>0</v>
      </c>
      <c r="Q4" s="23">
        <v>0</v>
      </c>
      <c r="R4" s="5">
        <f t="shared" ref="R4:R40" si="8">SUM(F4,H4,J4,L4,N4,P4)</f>
        <v>659</v>
      </c>
      <c r="S4" s="5">
        <f t="shared" si="1"/>
        <v>624.47</v>
      </c>
      <c r="T4" s="4">
        <v>0</v>
      </c>
      <c r="U4" s="23">
        <v>0</v>
      </c>
      <c r="V4" s="4">
        <v>0</v>
      </c>
      <c r="W4" s="23">
        <v>0</v>
      </c>
      <c r="X4" s="23">
        <v>0</v>
      </c>
      <c r="Y4" s="23">
        <v>0</v>
      </c>
      <c r="Z4" s="31">
        <f t="shared" si="2"/>
        <v>0</v>
      </c>
      <c r="AA4" s="31">
        <f t="shared" si="3"/>
        <v>0</v>
      </c>
      <c r="AB4" s="47">
        <v>0</v>
      </c>
      <c r="AC4" s="6">
        <f t="shared" si="4"/>
        <v>659</v>
      </c>
      <c r="AD4" s="6">
        <f t="shared" si="0"/>
        <v>624.47</v>
      </c>
      <c r="AE4" s="7">
        <v>1925036</v>
      </c>
      <c r="AF4" s="7">
        <v>14071</v>
      </c>
      <c r="AG4" s="7">
        <v>0</v>
      </c>
      <c r="AH4" s="7">
        <v>129601</v>
      </c>
      <c r="AI4" s="7">
        <v>515640</v>
      </c>
      <c r="AJ4" s="7">
        <v>214989</v>
      </c>
      <c r="AK4" s="8">
        <f t="shared" si="5"/>
        <v>2799337</v>
      </c>
      <c r="AL4" s="9">
        <v>0</v>
      </c>
      <c r="AM4" s="9">
        <v>0</v>
      </c>
      <c r="AN4" s="10">
        <f t="shared" si="6"/>
        <v>0</v>
      </c>
      <c r="AO4" s="8">
        <f t="shared" si="7"/>
        <v>2799337</v>
      </c>
    </row>
    <row r="5" spans="1:41" ht="30" x14ac:dyDescent="0.2">
      <c r="A5" s="12">
        <v>2023</v>
      </c>
      <c r="B5" s="12" t="s">
        <v>73</v>
      </c>
      <c r="C5" s="11" t="s">
        <v>47</v>
      </c>
      <c r="D5" s="11" t="s">
        <v>45</v>
      </c>
      <c r="E5" s="11" t="s">
        <v>42</v>
      </c>
      <c r="F5" s="23">
        <v>1472</v>
      </c>
      <c r="G5" s="23">
        <v>1341.7863500000001</v>
      </c>
      <c r="H5" s="23">
        <v>682</v>
      </c>
      <c r="I5" s="23">
        <v>633.82802999999967</v>
      </c>
      <c r="J5" s="23">
        <v>528</v>
      </c>
      <c r="K5" s="23">
        <v>498.07862999999998</v>
      </c>
      <c r="L5" s="23">
        <v>123</v>
      </c>
      <c r="M5" s="23">
        <v>116.79</v>
      </c>
      <c r="N5" s="23">
        <v>9</v>
      </c>
      <c r="O5" s="23">
        <v>8.19</v>
      </c>
      <c r="P5" s="23">
        <v>0</v>
      </c>
      <c r="Q5" s="23">
        <v>0</v>
      </c>
      <c r="R5" s="5">
        <f t="shared" si="8"/>
        <v>2814</v>
      </c>
      <c r="S5" s="5">
        <f t="shared" si="1"/>
        <v>2598.67301</v>
      </c>
      <c r="T5" s="4">
        <v>54</v>
      </c>
      <c r="U5" s="23">
        <v>53.03</v>
      </c>
      <c r="V5" s="4">
        <v>4</v>
      </c>
      <c r="W5" s="23">
        <v>4</v>
      </c>
      <c r="X5" s="23">
        <v>0</v>
      </c>
      <c r="Y5" s="23">
        <v>0</v>
      </c>
      <c r="Z5" s="31">
        <f t="shared" si="2"/>
        <v>58</v>
      </c>
      <c r="AA5" s="31">
        <f t="shared" si="3"/>
        <v>57.03</v>
      </c>
      <c r="AB5" s="47">
        <v>3</v>
      </c>
      <c r="AC5" s="6">
        <f t="shared" si="4"/>
        <v>2872</v>
      </c>
      <c r="AD5" s="6">
        <f t="shared" si="0"/>
        <v>2655.7030100000002</v>
      </c>
      <c r="AE5" s="7">
        <v>5821190.6900000637</v>
      </c>
      <c r="AF5" s="7">
        <v>3569.0400000000004</v>
      </c>
      <c r="AG5" s="7">
        <v>8050</v>
      </c>
      <c r="AH5" s="7">
        <v>66316.89999999998</v>
      </c>
      <c r="AI5" s="7">
        <v>1546205.7499999909</v>
      </c>
      <c r="AJ5" s="7">
        <v>517741.86999999662</v>
      </c>
      <c r="AK5" s="8">
        <f t="shared" si="5"/>
        <v>7963074.2500000512</v>
      </c>
      <c r="AL5" s="9">
        <v>312169.68</v>
      </c>
      <c r="AM5" s="9">
        <v>769871</v>
      </c>
      <c r="AN5" s="10">
        <f t="shared" si="6"/>
        <v>1082040.68</v>
      </c>
      <c r="AO5" s="8">
        <f t="shared" si="7"/>
        <v>9045114.9300000519</v>
      </c>
    </row>
    <row r="6" spans="1:41" ht="30" x14ac:dyDescent="0.2">
      <c r="A6" s="12">
        <v>2023</v>
      </c>
      <c r="B6" s="12" t="s">
        <v>73</v>
      </c>
      <c r="C6" s="11" t="s">
        <v>48</v>
      </c>
      <c r="D6" s="11" t="s">
        <v>45</v>
      </c>
      <c r="E6" s="11" t="s">
        <v>42</v>
      </c>
      <c r="F6" s="23">
        <v>29</v>
      </c>
      <c r="G6" s="23">
        <v>28.070270270270299</v>
      </c>
      <c r="H6" s="23">
        <v>21</v>
      </c>
      <c r="I6" s="23">
        <v>20.0864864864865</v>
      </c>
      <c r="J6" s="23">
        <v>56</v>
      </c>
      <c r="K6" s="23">
        <v>55.72</v>
      </c>
      <c r="L6" s="23">
        <v>58</v>
      </c>
      <c r="M6" s="23">
        <v>57.7</v>
      </c>
      <c r="N6" s="23">
        <v>2</v>
      </c>
      <c r="O6" s="23">
        <v>2</v>
      </c>
      <c r="P6" s="23">
        <v>0</v>
      </c>
      <c r="Q6" s="23">
        <v>0</v>
      </c>
      <c r="R6" s="5">
        <f t="shared" si="8"/>
        <v>166</v>
      </c>
      <c r="S6" s="5">
        <f t="shared" si="1"/>
        <v>163.57675675675682</v>
      </c>
      <c r="T6" s="4">
        <v>19</v>
      </c>
      <c r="U6" s="23">
        <v>19</v>
      </c>
      <c r="V6" s="4">
        <v>0</v>
      </c>
      <c r="W6" s="23">
        <v>0</v>
      </c>
      <c r="X6" s="23">
        <v>0</v>
      </c>
      <c r="Y6" s="23">
        <v>0</v>
      </c>
      <c r="Z6" s="31">
        <f t="shared" si="2"/>
        <v>19</v>
      </c>
      <c r="AA6" s="31">
        <f t="shared" si="3"/>
        <v>19</v>
      </c>
      <c r="AB6" s="47">
        <v>34</v>
      </c>
      <c r="AC6" s="6">
        <f t="shared" si="4"/>
        <v>185</v>
      </c>
      <c r="AD6" s="6">
        <f t="shared" si="0"/>
        <v>182.57675675675682</v>
      </c>
      <c r="AE6" s="7">
        <v>562248.62</v>
      </c>
      <c r="AF6" s="7">
        <v>20017</v>
      </c>
      <c r="AG6" s="7">
        <v>0</v>
      </c>
      <c r="AH6" s="7">
        <v>11962</v>
      </c>
      <c r="AI6" s="7">
        <v>159646.39000000001</v>
      </c>
      <c r="AJ6" s="7">
        <v>67723.19</v>
      </c>
      <c r="AK6" s="8">
        <f t="shared" si="5"/>
        <v>821597.2</v>
      </c>
      <c r="AL6" s="9">
        <v>120622.39</v>
      </c>
      <c r="AM6" s="9">
        <v>303826.08</v>
      </c>
      <c r="AN6" s="10">
        <f t="shared" si="6"/>
        <v>424448.47000000003</v>
      </c>
      <c r="AO6" s="8">
        <f t="shared" si="7"/>
        <v>1246045.67</v>
      </c>
    </row>
    <row r="7" spans="1:41" ht="30" x14ac:dyDescent="0.2">
      <c r="A7" s="12">
        <v>2023</v>
      </c>
      <c r="B7" s="12" t="s">
        <v>73</v>
      </c>
      <c r="C7" s="11" t="s">
        <v>49</v>
      </c>
      <c r="D7" s="11" t="s">
        <v>50</v>
      </c>
      <c r="E7" s="11" t="s">
        <v>42</v>
      </c>
      <c r="F7" s="23">
        <v>0</v>
      </c>
      <c r="G7" s="23">
        <v>0</v>
      </c>
      <c r="H7" s="23">
        <v>0</v>
      </c>
      <c r="I7" s="23">
        <v>0</v>
      </c>
      <c r="J7" s="23">
        <v>0</v>
      </c>
      <c r="K7" s="23">
        <v>0</v>
      </c>
      <c r="L7" s="23">
        <v>0</v>
      </c>
      <c r="M7" s="23">
        <v>0</v>
      </c>
      <c r="N7" s="23">
        <v>0</v>
      </c>
      <c r="O7" s="23">
        <v>0</v>
      </c>
      <c r="P7" s="23">
        <v>370</v>
      </c>
      <c r="Q7" s="23">
        <v>352.64</v>
      </c>
      <c r="R7" s="5">
        <f t="shared" si="8"/>
        <v>370</v>
      </c>
      <c r="S7" s="5">
        <f t="shared" si="1"/>
        <v>352.64</v>
      </c>
      <c r="T7" s="4">
        <v>0</v>
      </c>
      <c r="U7" s="23">
        <v>0</v>
      </c>
      <c r="V7" s="4">
        <v>0</v>
      </c>
      <c r="W7" s="23">
        <v>0</v>
      </c>
      <c r="X7" s="23">
        <v>0</v>
      </c>
      <c r="Y7" s="23">
        <v>0</v>
      </c>
      <c r="Z7" s="31">
        <f t="shared" si="2"/>
        <v>0</v>
      </c>
      <c r="AA7" s="31">
        <f t="shared" si="3"/>
        <v>0</v>
      </c>
      <c r="AB7" s="47">
        <v>0</v>
      </c>
      <c r="AC7" s="6">
        <f t="shared" si="4"/>
        <v>370</v>
      </c>
      <c r="AD7" s="6">
        <f t="shared" si="0"/>
        <v>352.64</v>
      </c>
      <c r="AE7" s="7">
        <v>1171242.8400000001</v>
      </c>
      <c r="AF7" s="7">
        <v>61907.14</v>
      </c>
      <c r="AG7" s="7">
        <v>0</v>
      </c>
      <c r="AH7" s="7">
        <v>0</v>
      </c>
      <c r="AI7" s="7">
        <v>102535.87</v>
      </c>
      <c r="AJ7" s="7">
        <v>134689.28</v>
      </c>
      <c r="AK7" s="8">
        <f t="shared" si="5"/>
        <v>1470375.1300000001</v>
      </c>
      <c r="AL7" s="9">
        <v>0</v>
      </c>
      <c r="AM7" s="9">
        <v>0</v>
      </c>
      <c r="AN7" s="10">
        <f t="shared" si="6"/>
        <v>0</v>
      </c>
      <c r="AO7" s="8">
        <f t="shared" si="7"/>
        <v>1470375.1300000001</v>
      </c>
    </row>
    <row r="8" spans="1:41" ht="30" x14ac:dyDescent="0.2">
      <c r="A8" s="12">
        <v>2023</v>
      </c>
      <c r="B8" s="12" t="s">
        <v>73</v>
      </c>
      <c r="C8" s="11" t="s">
        <v>51</v>
      </c>
      <c r="D8" s="11" t="s">
        <v>50</v>
      </c>
      <c r="E8" s="11" t="s">
        <v>42</v>
      </c>
      <c r="F8" s="23">
        <v>7</v>
      </c>
      <c r="G8" s="23">
        <v>6.64</v>
      </c>
      <c r="H8" s="23">
        <v>25</v>
      </c>
      <c r="I8" s="23">
        <v>23.58</v>
      </c>
      <c r="J8" s="23">
        <v>24</v>
      </c>
      <c r="K8" s="23">
        <v>23.3</v>
      </c>
      <c r="L8" s="23">
        <v>15</v>
      </c>
      <c r="M8" s="23">
        <v>14.59</v>
      </c>
      <c r="N8" s="23">
        <v>5</v>
      </c>
      <c r="O8" s="23">
        <v>5</v>
      </c>
      <c r="P8" s="23">
        <v>0</v>
      </c>
      <c r="Q8" s="23">
        <v>0</v>
      </c>
      <c r="R8" s="5">
        <f t="shared" si="8"/>
        <v>76</v>
      </c>
      <c r="S8" s="5">
        <f t="shared" si="1"/>
        <v>73.11</v>
      </c>
      <c r="T8" s="4">
        <v>0</v>
      </c>
      <c r="U8" s="23">
        <v>0</v>
      </c>
      <c r="V8" s="4">
        <v>1</v>
      </c>
      <c r="W8" s="23">
        <v>1</v>
      </c>
      <c r="X8" s="23">
        <v>0</v>
      </c>
      <c r="Y8" s="23">
        <v>0</v>
      </c>
      <c r="Z8" s="31">
        <f t="shared" si="2"/>
        <v>1</v>
      </c>
      <c r="AA8" s="31">
        <f t="shared" si="3"/>
        <v>1</v>
      </c>
      <c r="AB8" s="47">
        <v>1</v>
      </c>
      <c r="AC8" s="6">
        <f t="shared" si="4"/>
        <v>77</v>
      </c>
      <c r="AD8" s="6">
        <f t="shared" si="0"/>
        <v>74.11</v>
      </c>
      <c r="AE8" s="7">
        <v>235799.39</v>
      </c>
      <c r="AF8" s="7">
        <v>2332.2800000000002</v>
      </c>
      <c r="AG8" s="7">
        <v>0</v>
      </c>
      <c r="AH8" s="7">
        <v>0</v>
      </c>
      <c r="AI8" s="7">
        <v>64930.58</v>
      </c>
      <c r="AJ8" s="7">
        <v>24840.86</v>
      </c>
      <c r="AK8" s="8">
        <f t="shared" si="5"/>
        <v>327903.11</v>
      </c>
      <c r="AL8" s="9">
        <v>35702.400000000001</v>
      </c>
      <c r="AM8" s="9">
        <v>14124</v>
      </c>
      <c r="AN8" s="10">
        <f t="shared" si="6"/>
        <v>49826.400000000001</v>
      </c>
      <c r="AO8" s="8">
        <f t="shared" si="7"/>
        <v>377729.51</v>
      </c>
    </row>
    <row r="9" spans="1:41" ht="30" x14ac:dyDescent="0.2">
      <c r="A9" s="12">
        <v>2023</v>
      </c>
      <c r="B9" s="12" t="s">
        <v>73</v>
      </c>
      <c r="C9" s="11" t="s">
        <v>52</v>
      </c>
      <c r="D9" s="11" t="s">
        <v>50</v>
      </c>
      <c r="E9" s="11" t="s">
        <v>42</v>
      </c>
      <c r="F9" s="23">
        <v>2015</v>
      </c>
      <c r="G9" s="23">
        <v>1912.0099999999973</v>
      </c>
      <c r="H9" s="23">
        <v>2781</v>
      </c>
      <c r="I9" s="23">
        <v>2647.5399999999977</v>
      </c>
      <c r="J9" s="23">
        <v>3918</v>
      </c>
      <c r="K9" s="23">
        <v>3707.4700000000089</v>
      </c>
      <c r="L9" s="23">
        <v>2806</v>
      </c>
      <c r="M9" s="23">
        <v>2670.0799999999981</v>
      </c>
      <c r="N9" s="23">
        <v>104</v>
      </c>
      <c r="O9" s="23">
        <v>103.24000000000001</v>
      </c>
      <c r="P9" s="23">
        <v>844</v>
      </c>
      <c r="Q9" s="23">
        <v>803.53999999999974</v>
      </c>
      <c r="R9" s="5">
        <f t="shared" si="8"/>
        <v>12468</v>
      </c>
      <c r="S9" s="5">
        <f t="shared" si="1"/>
        <v>11843.880000000001</v>
      </c>
      <c r="T9" s="4">
        <v>159</v>
      </c>
      <c r="U9" s="23">
        <v>150.73000000000002</v>
      </c>
      <c r="V9" s="4">
        <v>432</v>
      </c>
      <c r="W9" s="23">
        <v>372.9700000000002</v>
      </c>
      <c r="X9" s="23">
        <v>0</v>
      </c>
      <c r="Y9" s="23">
        <v>0</v>
      </c>
      <c r="Z9" s="31">
        <f t="shared" si="2"/>
        <v>591</v>
      </c>
      <c r="AA9" s="31">
        <f t="shared" si="3"/>
        <v>523.70000000000027</v>
      </c>
      <c r="AB9" s="47">
        <v>7</v>
      </c>
      <c r="AC9" s="6">
        <f t="shared" si="4"/>
        <v>13059</v>
      </c>
      <c r="AD9" s="6">
        <f t="shared" si="0"/>
        <v>12367.580000000002</v>
      </c>
      <c r="AE9" s="7">
        <v>35106023.310000002</v>
      </c>
      <c r="AF9" s="7">
        <v>315405.65000000002</v>
      </c>
      <c r="AG9" s="7">
        <v>57500</v>
      </c>
      <c r="AH9" s="7">
        <v>1106529.7</v>
      </c>
      <c r="AI9" s="7">
        <v>5272293.1100000003</v>
      </c>
      <c r="AJ9" s="7">
        <v>3780762.2</v>
      </c>
      <c r="AK9" s="8">
        <f t="shared" si="5"/>
        <v>45638513.970000006</v>
      </c>
      <c r="AL9" s="9"/>
      <c r="AM9" s="9">
        <v>143271</v>
      </c>
      <c r="AN9" s="10">
        <f t="shared" si="6"/>
        <v>143271</v>
      </c>
      <c r="AO9" s="8">
        <f t="shared" si="7"/>
        <v>45781784.970000006</v>
      </c>
    </row>
    <row r="10" spans="1:41" ht="30" x14ac:dyDescent="0.2">
      <c r="A10" s="12">
        <v>2023</v>
      </c>
      <c r="B10" s="12" t="s">
        <v>73</v>
      </c>
      <c r="C10" s="11" t="s">
        <v>53</v>
      </c>
      <c r="D10" s="11" t="s">
        <v>50</v>
      </c>
      <c r="E10" s="11" t="s">
        <v>42</v>
      </c>
      <c r="F10" s="23">
        <v>8</v>
      </c>
      <c r="G10" s="23">
        <v>8</v>
      </c>
      <c r="H10" s="23">
        <v>39</v>
      </c>
      <c r="I10" s="23">
        <v>38.799999999999997</v>
      </c>
      <c r="J10" s="23">
        <v>204</v>
      </c>
      <c r="K10" s="23">
        <v>195.2</v>
      </c>
      <c r="L10" s="23">
        <v>36</v>
      </c>
      <c r="M10" s="23">
        <v>33.869999999999997</v>
      </c>
      <c r="N10" s="23">
        <v>3</v>
      </c>
      <c r="O10" s="23">
        <v>3</v>
      </c>
      <c r="P10" s="23">
        <v>0</v>
      </c>
      <c r="Q10" s="23">
        <v>0</v>
      </c>
      <c r="R10" s="5">
        <f t="shared" si="8"/>
        <v>290</v>
      </c>
      <c r="S10" s="5">
        <f t="shared" si="1"/>
        <v>278.87</v>
      </c>
      <c r="T10" s="4">
        <v>1</v>
      </c>
      <c r="U10" s="23">
        <v>1</v>
      </c>
      <c r="V10" s="4">
        <v>7</v>
      </c>
      <c r="W10" s="23">
        <v>7</v>
      </c>
      <c r="X10" s="23">
        <v>0</v>
      </c>
      <c r="Y10" s="23">
        <v>0</v>
      </c>
      <c r="Z10" s="31">
        <f t="shared" si="2"/>
        <v>8</v>
      </c>
      <c r="AA10" s="31">
        <f t="shared" si="3"/>
        <v>8</v>
      </c>
      <c r="AB10" s="47">
        <v>2</v>
      </c>
      <c r="AC10" s="6">
        <f t="shared" si="4"/>
        <v>298</v>
      </c>
      <c r="AD10" s="6">
        <f t="shared" si="0"/>
        <v>286.87</v>
      </c>
      <c r="AE10" s="7">
        <v>767100</v>
      </c>
      <c r="AF10" s="7">
        <v>22488</v>
      </c>
      <c r="AG10" s="7">
        <v>0</v>
      </c>
      <c r="AH10" s="7">
        <v>36015</v>
      </c>
      <c r="AI10" s="7">
        <v>212202</v>
      </c>
      <c r="AJ10" s="7">
        <v>83863</v>
      </c>
      <c r="AK10" s="8">
        <f t="shared" si="5"/>
        <v>1121668</v>
      </c>
      <c r="AL10" s="9">
        <v>118985</v>
      </c>
      <c r="AM10" s="9">
        <v>182011</v>
      </c>
      <c r="AN10" s="10">
        <f t="shared" si="6"/>
        <v>300996</v>
      </c>
      <c r="AO10" s="8">
        <f t="shared" si="7"/>
        <v>1422664</v>
      </c>
    </row>
    <row r="11" spans="1:41" ht="30" x14ac:dyDescent="0.2">
      <c r="A11" s="12">
        <v>2023</v>
      </c>
      <c r="B11" s="12" t="s">
        <v>73</v>
      </c>
      <c r="C11" s="11" t="s">
        <v>54</v>
      </c>
      <c r="D11" s="11" t="s">
        <v>50</v>
      </c>
      <c r="E11" s="11" t="s">
        <v>42</v>
      </c>
      <c r="F11" s="23">
        <v>28</v>
      </c>
      <c r="G11" s="23">
        <v>24.8</v>
      </c>
      <c r="H11" s="23">
        <v>124</v>
      </c>
      <c r="I11" s="23">
        <v>120.18000000000002</v>
      </c>
      <c r="J11" s="23">
        <v>229</v>
      </c>
      <c r="K11" s="23">
        <v>221.9</v>
      </c>
      <c r="L11" s="23">
        <v>87</v>
      </c>
      <c r="M11" s="23">
        <v>84.859999999999985</v>
      </c>
      <c r="N11" s="23">
        <v>7</v>
      </c>
      <c r="O11" s="23">
        <v>6.1899999999999995</v>
      </c>
      <c r="P11" s="23">
        <v>0</v>
      </c>
      <c r="Q11" s="23">
        <v>0</v>
      </c>
      <c r="R11" s="5">
        <f t="shared" si="8"/>
        <v>475</v>
      </c>
      <c r="S11" s="5">
        <f t="shared" si="1"/>
        <v>457.93</v>
      </c>
      <c r="T11" s="4">
        <v>0</v>
      </c>
      <c r="U11" s="23">
        <v>0</v>
      </c>
      <c r="V11" s="4">
        <v>0</v>
      </c>
      <c r="W11" s="23">
        <v>0</v>
      </c>
      <c r="X11" s="23">
        <v>0</v>
      </c>
      <c r="Y11" s="23">
        <v>0</v>
      </c>
      <c r="Z11" s="31">
        <f t="shared" si="2"/>
        <v>0</v>
      </c>
      <c r="AA11" s="31">
        <f t="shared" si="3"/>
        <v>0</v>
      </c>
      <c r="AB11" s="47">
        <v>0</v>
      </c>
      <c r="AC11" s="6">
        <f t="shared" si="4"/>
        <v>475</v>
      </c>
      <c r="AD11" s="6">
        <f t="shared" si="0"/>
        <v>457.93</v>
      </c>
      <c r="AE11" s="7">
        <v>1303049.875</v>
      </c>
      <c r="AF11" s="7">
        <v>21352.725000000002</v>
      </c>
      <c r="AG11" s="7">
        <v>0</v>
      </c>
      <c r="AH11" s="7">
        <v>34235.370000000003</v>
      </c>
      <c r="AI11" s="7">
        <v>360353.33</v>
      </c>
      <c r="AJ11" s="7">
        <v>140082.82999999999</v>
      </c>
      <c r="AK11" s="8">
        <f t="shared" si="5"/>
        <v>1859074.1300000004</v>
      </c>
      <c r="AL11" s="9">
        <v>0</v>
      </c>
      <c r="AM11" s="9">
        <v>0</v>
      </c>
      <c r="AN11" s="10">
        <f t="shared" si="6"/>
        <v>0</v>
      </c>
      <c r="AO11" s="8">
        <f t="shared" si="7"/>
        <v>1859074.1300000004</v>
      </c>
    </row>
    <row r="12" spans="1:41" ht="30" x14ac:dyDescent="0.2">
      <c r="A12" s="12">
        <v>2023</v>
      </c>
      <c r="B12" s="12" t="s">
        <v>73</v>
      </c>
      <c r="C12" s="11" t="s">
        <v>55</v>
      </c>
      <c r="D12" s="11" t="s">
        <v>50</v>
      </c>
      <c r="E12" s="11" t="s">
        <v>42</v>
      </c>
      <c r="F12" s="23">
        <v>2</v>
      </c>
      <c r="G12" s="23">
        <v>2</v>
      </c>
      <c r="H12" s="23">
        <v>6</v>
      </c>
      <c r="I12" s="23">
        <v>5.0999999999999996</v>
      </c>
      <c r="J12" s="23">
        <v>25</v>
      </c>
      <c r="K12" s="23">
        <v>23.3</v>
      </c>
      <c r="L12" s="23">
        <v>7</v>
      </c>
      <c r="M12" s="23">
        <v>6.54</v>
      </c>
      <c r="N12" s="23">
        <v>1</v>
      </c>
      <c r="O12" s="23">
        <v>1</v>
      </c>
      <c r="P12" s="23">
        <v>0</v>
      </c>
      <c r="Q12" s="23">
        <v>0</v>
      </c>
      <c r="R12" s="5">
        <f t="shared" si="8"/>
        <v>41</v>
      </c>
      <c r="S12" s="5">
        <f t="shared" si="1"/>
        <v>37.94</v>
      </c>
      <c r="T12" s="4">
        <v>0</v>
      </c>
      <c r="U12" s="23">
        <v>0</v>
      </c>
      <c r="V12" s="4">
        <v>0</v>
      </c>
      <c r="W12" s="23">
        <v>0</v>
      </c>
      <c r="X12" s="23">
        <v>0</v>
      </c>
      <c r="Y12" s="23">
        <v>0</v>
      </c>
      <c r="Z12" s="31">
        <f t="shared" si="2"/>
        <v>0</v>
      </c>
      <c r="AA12" s="31">
        <f t="shared" si="3"/>
        <v>0</v>
      </c>
      <c r="AB12" s="47">
        <v>0</v>
      </c>
      <c r="AC12" s="6">
        <f t="shared" si="4"/>
        <v>41</v>
      </c>
      <c r="AD12" s="6">
        <f t="shared" si="0"/>
        <v>37.94</v>
      </c>
      <c r="AE12" s="7">
        <v>118416</v>
      </c>
      <c r="AF12" s="7">
        <v>0</v>
      </c>
      <c r="AG12" s="7">
        <v>100</v>
      </c>
      <c r="AH12" s="7">
        <v>2323</v>
      </c>
      <c r="AI12" s="7">
        <v>30923</v>
      </c>
      <c r="AJ12" s="7">
        <v>12387</v>
      </c>
      <c r="AK12" s="8">
        <f t="shared" si="5"/>
        <v>164149</v>
      </c>
      <c r="AL12" s="9">
        <v>0</v>
      </c>
      <c r="AM12" s="9">
        <v>0</v>
      </c>
      <c r="AN12" s="10">
        <f t="shared" si="6"/>
        <v>0</v>
      </c>
      <c r="AO12" s="8">
        <f t="shared" si="7"/>
        <v>164149</v>
      </c>
    </row>
    <row r="13" spans="1:41" ht="30" x14ac:dyDescent="0.2">
      <c r="A13" s="12">
        <v>2023</v>
      </c>
      <c r="B13" s="12" t="s">
        <v>73</v>
      </c>
      <c r="C13" s="11" t="s">
        <v>56</v>
      </c>
      <c r="D13" s="11" t="s">
        <v>50</v>
      </c>
      <c r="E13" s="11" t="s">
        <v>42</v>
      </c>
      <c r="F13" s="23">
        <v>141</v>
      </c>
      <c r="G13" s="23">
        <v>126.98424000000003</v>
      </c>
      <c r="H13" s="23">
        <v>489</v>
      </c>
      <c r="I13" s="23">
        <v>463.00060000000036</v>
      </c>
      <c r="J13" s="23">
        <v>2183</v>
      </c>
      <c r="K13" s="23">
        <v>2029.9476699999905</v>
      </c>
      <c r="L13" s="23">
        <v>316</v>
      </c>
      <c r="M13" s="23">
        <v>300.41858999999999</v>
      </c>
      <c r="N13" s="23">
        <v>27</v>
      </c>
      <c r="O13" s="23">
        <v>24.890539999999998</v>
      </c>
      <c r="P13" s="23">
        <v>10</v>
      </c>
      <c r="Q13" s="23">
        <v>9.6486499999999999</v>
      </c>
      <c r="R13" s="5">
        <f t="shared" si="8"/>
        <v>3166</v>
      </c>
      <c r="S13" s="5">
        <f t="shared" si="1"/>
        <v>2954.8902899999907</v>
      </c>
      <c r="T13" s="4">
        <v>37</v>
      </c>
      <c r="U13" s="23">
        <v>36.1</v>
      </c>
      <c r="V13" s="4">
        <v>0</v>
      </c>
      <c r="W13" s="4">
        <v>0</v>
      </c>
      <c r="X13" s="4">
        <v>0</v>
      </c>
      <c r="Y13" s="23">
        <v>0</v>
      </c>
      <c r="Z13" s="31">
        <f t="shared" si="2"/>
        <v>37</v>
      </c>
      <c r="AA13" s="31">
        <f t="shared" si="3"/>
        <v>36.1</v>
      </c>
      <c r="AB13" s="47">
        <v>2</v>
      </c>
      <c r="AC13" s="6">
        <f t="shared" si="4"/>
        <v>3203</v>
      </c>
      <c r="AD13" s="6">
        <f t="shared" si="0"/>
        <v>2990.9902899999906</v>
      </c>
      <c r="AE13" s="7">
        <v>7978497.7200000202</v>
      </c>
      <c r="AF13" s="7">
        <v>85213.6899999999</v>
      </c>
      <c r="AG13" s="7">
        <v>33100</v>
      </c>
      <c r="AH13" s="7">
        <v>38410.36</v>
      </c>
      <c r="AI13" s="7">
        <v>2175031.9500000104</v>
      </c>
      <c r="AJ13" s="7">
        <v>793167.070000006</v>
      </c>
      <c r="AK13" s="8">
        <f t="shared" si="5"/>
        <v>11103420.790000036</v>
      </c>
      <c r="AL13" s="9">
        <v>110000</v>
      </c>
      <c r="AM13" s="9">
        <v>33416</v>
      </c>
      <c r="AN13" s="10">
        <f t="shared" si="6"/>
        <v>143416</v>
      </c>
      <c r="AO13" s="8">
        <f t="shared" si="7"/>
        <v>11246836.790000036</v>
      </c>
    </row>
    <row r="14" spans="1:41" ht="30" x14ac:dyDescent="0.2">
      <c r="A14" s="12">
        <v>2023</v>
      </c>
      <c r="B14" s="12" t="s">
        <v>73</v>
      </c>
      <c r="C14" s="11" t="s">
        <v>57</v>
      </c>
      <c r="D14" s="11" t="s">
        <v>50</v>
      </c>
      <c r="E14" s="11" t="s">
        <v>42</v>
      </c>
      <c r="F14" s="23">
        <v>317</v>
      </c>
      <c r="G14" s="23">
        <v>227.44</v>
      </c>
      <c r="H14" s="23">
        <v>257</v>
      </c>
      <c r="I14" s="23">
        <v>207.08</v>
      </c>
      <c r="J14" s="23">
        <v>297</v>
      </c>
      <c r="K14" s="23">
        <v>282.43</v>
      </c>
      <c r="L14" s="23">
        <v>88</v>
      </c>
      <c r="M14" s="23">
        <v>86.18</v>
      </c>
      <c r="N14" s="23">
        <v>13</v>
      </c>
      <c r="O14" s="23">
        <v>13</v>
      </c>
      <c r="P14" s="23">
        <v>76</v>
      </c>
      <c r="Q14" s="23">
        <v>75.81</v>
      </c>
      <c r="R14" s="5">
        <f t="shared" si="8"/>
        <v>1048</v>
      </c>
      <c r="S14" s="5">
        <f t="shared" si="1"/>
        <v>891.94</v>
      </c>
      <c r="T14" s="4">
        <v>0</v>
      </c>
      <c r="U14" s="23">
        <v>0</v>
      </c>
      <c r="V14" s="4">
        <v>26</v>
      </c>
      <c r="W14" s="23">
        <v>26</v>
      </c>
      <c r="X14" s="23">
        <v>0</v>
      </c>
      <c r="Y14" s="23">
        <v>0</v>
      </c>
      <c r="Z14" s="31">
        <f t="shared" si="2"/>
        <v>26</v>
      </c>
      <c r="AA14" s="31">
        <f t="shared" si="3"/>
        <v>26</v>
      </c>
      <c r="AB14" s="47">
        <v>0</v>
      </c>
      <c r="AC14" s="6">
        <f t="shared" si="4"/>
        <v>1074</v>
      </c>
      <c r="AD14" s="6">
        <f t="shared" si="0"/>
        <v>917.94</v>
      </c>
      <c r="AE14" s="7">
        <v>3248915.13</v>
      </c>
      <c r="AF14" s="7">
        <v>16016.07</v>
      </c>
      <c r="AG14" s="7">
        <v>0</v>
      </c>
      <c r="AH14" s="7">
        <v>38358.79</v>
      </c>
      <c r="AI14" s="7">
        <v>614334.81999999995</v>
      </c>
      <c r="AJ14" s="7">
        <v>345911.57</v>
      </c>
      <c r="AK14" s="8">
        <f t="shared" si="5"/>
        <v>4263536.38</v>
      </c>
      <c r="AL14" s="9">
        <v>256049.46000000002</v>
      </c>
      <c r="AM14" s="9">
        <v>0</v>
      </c>
      <c r="AN14" s="10">
        <f t="shared" si="6"/>
        <v>256049.46000000002</v>
      </c>
      <c r="AO14" s="8">
        <f t="shared" si="7"/>
        <v>4519585.84</v>
      </c>
    </row>
    <row r="15" spans="1:41" ht="30" x14ac:dyDescent="0.2">
      <c r="A15" s="12">
        <v>2023</v>
      </c>
      <c r="B15" s="12" t="s">
        <v>73</v>
      </c>
      <c r="C15" s="11" t="s">
        <v>58</v>
      </c>
      <c r="D15" s="11" t="s">
        <v>50</v>
      </c>
      <c r="E15" s="11" t="s">
        <v>42</v>
      </c>
      <c r="F15" s="23">
        <v>28</v>
      </c>
      <c r="G15" s="23">
        <v>26.76</v>
      </c>
      <c r="H15" s="23">
        <v>31</v>
      </c>
      <c r="I15" s="23">
        <v>30.6</v>
      </c>
      <c r="J15" s="23">
        <v>20</v>
      </c>
      <c r="K15" s="23">
        <v>19.510000000000002</v>
      </c>
      <c r="L15" s="23">
        <v>0</v>
      </c>
      <c r="M15" s="23">
        <v>0</v>
      </c>
      <c r="N15" s="23">
        <v>5</v>
      </c>
      <c r="O15" s="23">
        <v>5</v>
      </c>
      <c r="P15" s="23">
        <v>0</v>
      </c>
      <c r="Q15" s="23">
        <v>0</v>
      </c>
      <c r="R15" s="5">
        <f t="shared" si="8"/>
        <v>84</v>
      </c>
      <c r="S15" s="5">
        <f t="shared" si="1"/>
        <v>81.87</v>
      </c>
      <c r="T15" s="4">
        <v>0</v>
      </c>
      <c r="U15" s="23">
        <v>0</v>
      </c>
      <c r="V15" s="4">
        <v>0</v>
      </c>
      <c r="W15" s="4">
        <v>0</v>
      </c>
      <c r="X15" s="4">
        <v>0</v>
      </c>
      <c r="Y15" s="23">
        <v>0</v>
      </c>
      <c r="Z15" s="31">
        <f t="shared" si="2"/>
        <v>0</v>
      </c>
      <c r="AA15" s="31">
        <f t="shared" si="3"/>
        <v>0</v>
      </c>
      <c r="AB15" s="47">
        <v>0</v>
      </c>
      <c r="AC15" s="6">
        <f t="shared" si="4"/>
        <v>84</v>
      </c>
      <c r="AD15" s="6">
        <f t="shared" si="0"/>
        <v>81.87</v>
      </c>
      <c r="AE15" s="7">
        <v>278590.71000000002</v>
      </c>
      <c r="AF15" s="7">
        <v>6280.57</v>
      </c>
      <c r="AG15" s="7">
        <v>0</v>
      </c>
      <c r="AH15" s="7">
        <v>0</v>
      </c>
      <c r="AI15" s="7">
        <v>39172.449999999997</v>
      </c>
      <c r="AJ15" s="7">
        <v>27535.279999999999</v>
      </c>
      <c r="AK15" s="8">
        <f t="shared" si="5"/>
        <v>351579.01</v>
      </c>
      <c r="AL15" s="9">
        <v>0</v>
      </c>
      <c r="AM15" s="9">
        <v>0</v>
      </c>
      <c r="AN15" s="10">
        <f t="shared" si="6"/>
        <v>0</v>
      </c>
      <c r="AO15" s="8">
        <f t="shared" si="7"/>
        <v>351579.01</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59</v>
      </c>
      <c r="B1" s="50" t="s">
        <v>0</v>
      </c>
      <c r="C1" s="51" t="s">
        <v>1</v>
      </c>
      <c r="D1" s="51" t="s">
        <v>60</v>
      </c>
      <c r="E1" s="51" t="s">
        <v>61</v>
      </c>
      <c r="F1" s="52" t="s">
        <v>62</v>
      </c>
      <c r="G1" s="60" t="s">
        <v>63</v>
      </c>
      <c r="H1" s="61" t="s">
        <v>64</v>
      </c>
    </row>
    <row r="2" spans="1:8" ht="49.5" customHeight="1" x14ac:dyDescent="0.2">
      <c r="B2" s="53">
        <v>2022</v>
      </c>
      <c r="C2" s="12" t="s">
        <v>65</v>
      </c>
      <c r="D2" s="11" t="s">
        <v>42</v>
      </c>
      <c r="E2" s="11" t="s">
        <v>43</v>
      </c>
      <c r="F2" s="48" t="s">
        <v>42</v>
      </c>
      <c r="G2" s="49"/>
      <c r="H2" s="54"/>
    </row>
    <row r="3" spans="1:8" ht="49.5" customHeight="1" x14ac:dyDescent="0.2">
      <c r="B3" s="53">
        <v>2022</v>
      </c>
      <c r="C3" s="12" t="s">
        <v>66</v>
      </c>
      <c r="D3" s="11" t="s">
        <v>44</v>
      </c>
      <c r="E3" s="11" t="s">
        <v>45</v>
      </c>
      <c r="F3" s="48" t="s">
        <v>42</v>
      </c>
      <c r="G3" s="49"/>
      <c r="H3" s="64"/>
    </row>
    <row r="4" spans="1:8" ht="49.5" customHeight="1" x14ac:dyDescent="0.2">
      <c r="B4" s="53">
        <v>2022</v>
      </c>
      <c r="C4" s="12" t="s">
        <v>67</v>
      </c>
      <c r="D4" s="11" t="s">
        <v>46</v>
      </c>
      <c r="E4" s="11" t="s">
        <v>45</v>
      </c>
      <c r="F4" s="48" t="s">
        <v>42</v>
      </c>
      <c r="G4" s="49"/>
      <c r="H4" s="54"/>
    </row>
    <row r="5" spans="1:8" ht="49.5" customHeight="1" x14ac:dyDescent="0.2">
      <c r="B5" s="53">
        <v>2022</v>
      </c>
      <c r="C5" s="12" t="s">
        <v>68</v>
      </c>
      <c r="D5" s="11" t="s">
        <v>47</v>
      </c>
      <c r="E5" s="11" t="s">
        <v>45</v>
      </c>
      <c r="F5" s="48" t="s">
        <v>42</v>
      </c>
      <c r="G5" s="49"/>
      <c r="H5" s="54"/>
    </row>
    <row r="6" spans="1:8" ht="49.5" customHeight="1" x14ac:dyDescent="0.2">
      <c r="B6" s="53">
        <v>2022</v>
      </c>
      <c r="C6" s="12" t="s">
        <v>69</v>
      </c>
      <c r="D6" s="11" t="s">
        <v>48</v>
      </c>
      <c r="E6" s="11" t="s">
        <v>45</v>
      </c>
      <c r="F6" s="48" t="s">
        <v>42</v>
      </c>
      <c r="G6" s="49"/>
      <c r="H6" s="54"/>
    </row>
    <row r="7" spans="1:8" ht="49.5" customHeight="1" x14ac:dyDescent="0.2">
      <c r="B7" s="53">
        <v>2022</v>
      </c>
      <c r="C7" s="12" t="s">
        <v>41</v>
      </c>
      <c r="D7" s="11" t="s">
        <v>49</v>
      </c>
      <c r="E7" s="11" t="s">
        <v>50</v>
      </c>
      <c r="F7" s="48" t="s">
        <v>42</v>
      </c>
      <c r="G7" s="49"/>
      <c r="H7" s="54"/>
    </row>
    <row r="8" spans="1:8" ht="49.5" customHeight="1" x14ac:dyDescent="0.2">
      <c r="B8" s="53">
        <v>2022</v>
      </c>
      <c r="C8" s="12" t="s">
        <v>70</v>
      </c>
      <c r="D8" s="11" t="s">
        <v>51</v>
      </c>
      <c r="E8" s="11" t="s">
        <v>50</v>
      </c>
      <c r="F8" s="48" t="s">
        <v>42</v>
      </c>
      <c r="G8" s="49"/>
      <c r="H8" s="54"/>
    </row>
    <row r="9" spans="1:8" ht="80.25" customHeight="1" x14ac:dyDescent="0.2">
      <c r="B9" s="53">
        <v>2022</v>
      </c>
      <c r="C9" s="12" t="s">
        <v>71</v>
      </c>
      <c r="D9" s="11" t="s">
        <v>52</v>
      </c>
      <c r="E9" s="11" t="s">
        <v>50</v>
      </c>
      <c r="F9" s="48" t="s">
        <v>42</v>
      </c>
      <c r="G9" s="49"/>
      <c r="H9" s="49"/>
    </row>
    <row r="10" spans="1:8" ht="49.5" customHeight="1" x14ac:dyDescent="0.2">
      <c r="B10" s="53">
        <v>2022</v>
      </c>
      <c r="C10" s="12" t="s">
        <v>72</v>
      </c>
      <c r="D10" s="11" t="s">
        <v>53</v>
      </c>
      <c r="E10" s="11" t="s">
        <v>50</v>
      </c>
      <c r="F10" s="48" t="s">
        <v>42</v>
      </c>
      <c r="G10" s="49"/>
      <c r="H10" s="54"/>
    </row>
    <row r="11" spans="1:8" ht="49.5" customHeight="1" x14ac:dyDescent="0.2">
      <c r="B11" s="53">
        <v>2022</v>
      </c>
      <c r="C11" s="12" t="s">
        <v>73</v>
      </c>
      <c r="D11" s="11" t="s">
        <v>54</v>
      </c>
      <c r="E11" s="11" t="s">
        <v>50</v>
      </c>
      <c r="F11" s="48" t="s">
        <v>42</v>
      </c>
      <c r="G11" s="49"/>
      <c r="H11" s="54"/>
    </row>
    <row r="12" spans="1:8" ht="49.5" customHeight="1" x14ac:dyDescent="0.2">
      <c r="B12" s="53">
        <v>2022</v>
      </c>
      <c r="C12" s="12" t="s">
        <v>74</v>
      </c>
      <c r="D12" s="11" t="s">
        <v>55</v>
      </c>
      <c r="E12" s="11" t="s">
        <v>50</v>
      </c>
      <c r="F12" s="48" t="s">
        <v>42</v>
      </c>
      <c r="G12" s="49"/>
      <c r="H12" s="54"/>
    </row>
    <row r="13" spans="1:8" ht="67.5" customHeight="1" x14ac:dyDescent="0.2">
      <c r="B13" s="53">
        <v>2022</v>
      </c>
      <c r="C13" s="12" t="s">
        <v>75</v>
      </c>
      <c r="D13" s="11" t="s">
        <v>56</v>
      </c>
      <c r="E13" s="11" t="s">
        <v>50</v>
      </c>
      <c r="F13" s="48" t="s">
        <v>42</v>
      </c>
      <c r="G13" s="49"/>
      <c r="H13" s="54"/>
    </row>
    <row r="14" spans="1:8" ht="49.5" customHeight="1" x14ac:dyDescent="0.2">
      <c r="B14" s="53">
        <v>2022</v>
      </c>
      <c r="C14" s="12" t="s">
        <v>65</v>
      </c>
      <c r="D14" s="11" t="s">
        <v>57</v>
      </c>
      <c r="E14" s="11" t="s">
        <v>50</v>
      </c>
      <c r="F14" s="48" t="s">
        <v>42</v>
      </c>
      <c r="G14" s="49"/>
      <c r="H14" s="54"/>
    </row>
    <row r="15" spans="1:8" ht="49.5" customHeight="1" thickBot="1" x14ac:dyDescent="0.25">
      <c r="B15" s="55">
        <v>2022</v>
      </c>
      <c r="C15" s="12" t="s">
        <v>66</v>
      </c>
      <c r="D15" s="56" t="s">
        <v>58</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76</v>
      </c>
      <c r="B1" s="36" t="s">
        <v>77</v>
      </c>
    </row>
    <row r="2" spans="1:2" ht="72" customHeight="1" x14ac:dyDescent="0.2">
      <c r="A2" s="34" t="s">
        <v>2</v>
      </c>
      <c r="B2" s="40" t="s">
        <v>78</v>
      </c>
    </row>
    <row r="3" spans="1:2" ht="50.1" customHeight="1" x14ac:dyDescent="0.2">
      <c r="A3" s="34" t="s">
        <v>79</v>
      </c>
      <c r="B3" s="39" t="s">
        <v>80</v>
      </c>
    </row>
    <row r="4" spans="1:2" ht="50.1" customHeight="1" x14ac:dyDescent="0.2">
      <c r="A4" s="34" t="s">
        <v>81</v>
      </c>
      <c r="B4" s="38" t="s">
        <v>82</v>
      </c>
    </row>
    <row r="5" spans="1:2" ht="73.5" customHeight="1" x14ac:dyDescent="0.2">
      <c r="A5" s="34" t="s">
        <v>83</v>
      </c>
      <c r="B5" s="37" t="s">
        <v>84</v>
      </c>
    </row>
    <row r="6" spans="1:2" ht="20.100000000000001" customHeight="1" x14ac:dyDescent="0.2">
      <c r="A6" s="34" t="s">
        <v>85</v>
      </c>
      <c r="B6" s="37" t="s">
        <v>86</v>
      </c>
    </row>
    <row r="7" spans="1:2" ht="20.100000000000001" customHeight="1" x14ac:dyDescent="0.2">
      <c r="A7" s="34" t="s">
        <v>87</v>
      </c>
      <c r="B7" s="37" t="s">
        <v>88</v>
      </c>
    </row>
    <row r="8" spans="1:2" ht="20.100000000000001" customHeight="1" x14ac:dyDescent="0.2">
      <c r="A8" s="34" t="s">
        <v>89</v>
      </c>
      <c r="B8" s="37" t="s">
        <v>90</v>
      </c>
    </row>
    <row r="9" spans="1:2" ht="20.100000000000001" customHeight="1" x14ac:dyDescent="0.2">
      <c r="A9" s="34" t="s">
        <v>91</v>
      </c>
      <c r="B9" s="37" t="s">
        <v>92</v>
      </c>
    </row>
    <row r="10" spans="1:2" ht="20.100000000000001" customHeight="1" x14ac:dyDescent="0.2">
      <c r="A10" s="34" t="s">
        <v>93</v>
      </c>
      <c r="B10" s="37" t="s">
        <v>94</v>
      </c>
    </row>
    <row r="11" spans="1:2" ht="25.5" x14ac:dyDescent="0.2">
      <c r="A11" s="34" t="s">
        <v>95</v>
      </c>
      <c r="B11" s="37" t="s">
        <v>96</v>
      </c>
    </row>
    <row r="12" spans="1:2" ht="102" x14ac:dyDescent="0.2">
      <c r="A12" s="34" t="s">
        <v>97</v>
      </c>
      <c r="B12" s="37" t="s">
        <v>98</v>
      </c>
    </row>
    <row r="13" spans="1:2" ht="30" customHeight="1" x14ac:dyDescent="0.2">
      <c r="A13" s="34" t="s">
        <v>99</v>
      </c>
      <c r="B13" s="37" t="s">
        <v>100</v>
      </c>
    </row>
    <row r="14" spans="1:2" ht="30" customHeight="1" x14ac:dyDescent="0.2">
      <c r="A14" s="34" t="s">
        <v>101</v>
      </c>
      <c r="B14" s="37" t="s">
        <v>102</v>
      </c>
    </row>
    <row r="15" spans="1:2" ht="174.95" customHeight="1" x14ac:dyDescent="0.2">
      <c r="A15" s="34" t="s">
        <v>103</v>
      </c>
      <c r="B15" s="37" t="s">
        <v>104</v>
      </c>
    </row>
    <row r="16" spans="1:2" ht="33" customHeight="1" x14ac:dyDescent="0.2">
      <c r="A16" s="34" t="s">
        <v>105</v>
      </c>
      <c r="B16" s="37" t="s">
        <v>106</v>
      </c>
    </row>
    <row r="17" spans="1:2" ht="102" x14ac:dyDescent="0.2">
      <c r="A17" s="44" t="s">
        <v>107</v>
      </c>
      <c r="B17" s="45" t="s">
        <v>108</v>
      </c>
    </row>
    <row r="18" spans="1:2" ht="30" customHeight="1" x14ac:dyDescent="0.2">
      <c r="A18" s="34" t="s">
        <v>109</v>
      </c>
      <c r="B18" s="37" t="s">
        <v>110</v>
      </c>
    </row>
    <row r="19" spans="1:2" ht="30" customHeight="1" x14ac:dyDescent="0.2">
      <c r="A19" s="34" t="s">
        <v>111</v>
      </c>
      <c r="B19" s="37" t="s">
        <v>112</v>
      </c>
    </row>
    <row r="25" spans="1:2" x14ac:dyDescent="0.2">
      <c r="B25" s="43" t="s">
        <v>113</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114</v>
      </c>
      <c r="C1" s="16" t="s">
        <v>2</v>
      </c>
      <c r="D1" s="17" t="s">
        <v>3</v>
      </c>
      <c r="F1" s="13" t="s">
        <v>115</v>
      </c>
      <c r="G1" s="13" t="s">
        <v>116</v>
      </c>
      <c r="H1" s="41" t="s">
        <v>3</v>
      </c>
      <c r="I1" s="14" t="s">
        <v>117</v>
      </c>
    </row>
    <row r="2" spans="2:9" x14ac:dyDescent="0.2">
      <c r="B2" s="18" t="s">
        <v>118</v>
      </c>
      <c r="C2" s="3" t="s">
        <v>119</v>
      </c>
      <c r="D2" s="19" t="s">
        <v>43</v>
      </c>
      <c r="F2" s="3" t="s">
        <v>120</v>
      </c>
      <c r="G2" s="1" t="s">
        <v>118</v>
      </c>
      <c r="H2" s="22" t="s">
        <v>121</v>
      </c>
      <c r="I2" s="1">
        <v>2022</v>
      </c>
    </row>
    <row r="3" spans="2:9" x14ac:dyDescent="0.2">
      <c r="B3" s="18" t="s">
        <v>118</v>
      </c>
      <c r="C3" s="3" t="s">
        <v>122</v>
      </c>
      <c r="D3" s="19" t="s">
        <v>123</v>
      </c>
      <c r="F3" s="3" t="s">
        <v>124</v>
      </c>
      <c r="G3" s="1" t="s">
        <v>125</v>
      </c>
      <c r="H3" s="22" t="s">
        <v>45</v>
      </c>
      <c r="I3" s="1">
        <v>2023</v>
      </c>
    </row>
    <row r="4" spans="2:9" x14ac:dyDescent="0.2">
      <c r="B4" s="18" t="s">
        <v>118</v>
      </c>
      <c r="C4" s="3" t="s">
        <v>126</v>
      </c>
      <c r="D4" s="19" t="s">
        <v>123</v>
      </c>
      <c r="F4" s="3" t="s">
        <v>127</v>
      </c>
      <c r="G4" s="1" t="s">
        <v>128</v>
      </c>
      <c r="H4" s="22" t="s">
        <v>50</v>
      </c>
      <c r="I4" s="1" t="s">
        <v>71</v>
      </c>
    </row>
    <row r="5" spans="2:9" x14ac:dyDescent="0.2">
      <c r="B5" s="18" t="s">
        <v>118</v>
      </c>
      <c r="C5" s="3" t="s">
        <v>129</v>
      </c>
      <c r="D5" s="19" t="s">
        <v>123</v>
      </c>
      <c r="F5" s="3" t="s">
        <v>49</v>
      </c>
      <c r="G5" s="1" t="s">
        <v>130</v>
      </c>
      <c r="H5" s="22" t="s">
        <v>43</v>
      </c>
      <c r="I5" s="1" t="s">
        <v>72</v>
      </c>
    </row>
    <row r="6" spans="2:9" x14ac:dyDescent="0.2">
      <c r="B6" s="18" t="s">
        <v>118</v>
      </c>
      <c r="C6" s="3" t="s">
        <v>131</v>
      </c>
      <c r="D6" s="19" t="s">
        <v>123</v>
      </c>
      <c r="F6" s="3" t="s">
        <v>44</v>
      </c>
      <c r="G6" s="1" t="s">
        <v>132</v>
      </c>
      <c r="H6" s="22" t="s">
        <v>123</v>
      </c>
      <c r="I6" s="1" t="s">
        <v>73</v>
      </c>
    </row>
    <row r="7" spans="2:9" x14ac:dyDescent="0.2">
      <c r="B7" s="18" t="s">
        <v>125</v>
      </c>
      <c r="C7" s="3" t="s">
        <v>133</v>
      </c>
      <c r="D7" s="19" t="s">
        <v>50</v>
      </c>
      <c r="F7" s="3" t="s">
        <v>134</v>
      </c>
      <c r="G7" s="1" t="s">
        <v>135</v>
      </c>
      <c r="H7" s="22" t="s">
        <v>136</v>
      </c>
      <c r="I7" s="1" t="s">
        <v>74</v>
      </c>
    </row>
    <row r="8" spans="2:9" x14ac:dyDescent="0.2">
      <c r="B8" s="18" t="s">
        <v>125</v>
      </c>
      <c r="C8" s="3" t="s">
        <v>125</v>
      </c>
      <c r="D8" s="19" t="s">
        <v>43</v>
      </c>
      <c r="F8" s="3" t="s">
        <v>137</v>
      </c>
      <c r="G8" s="1" t="s">
        <v>138</v>
      </c>
      <c r="I8" s="1" t="s">
        <v>75</v>
      </c>
    </row>
    <row r="9" spans="2:9" x14ac:dyDescent="0.2">
      <c r="B9" s="18" t="s">
        <v>125</v>
      </c>
      <c r="C9" s="3" t="s">
        <v>139</v>
      </c>
      <c r="D9" s="19" t="s">
        <v>50</v>
      </c>
      <c r="F9" s="3" t="s">
        <v>119</v>
      </c>
      <c r="G9" s="1" t="s">
        <v>42</v>
      </c>
      <c r="I9" s="1" t="s">
        <v>65</v>
      </c>
    </row>
    <row r="10" spans="2:9" x14ac:dyDescent="0.2">
      <c r="B10" s="18" t="s">
        <v>125</v>
      </c>
      <c r="C10" s="3" t="s">
        <v>140</v>
      </c>
      <c r="D10" s="19" t="s">
        <v>45</v>
      </c>
      <c r="F10" s="3" t="s">
        <v>133</v>
      </c>
      <c r="G10" s="1" t="s">
        <v>141</v>
      </c>
      <c r="I10" s="1" t="s">
        <v>66</v>
      </c>
    </row>
    <row r="11" spans="2:9" x14ac:dyDescent="0.2">
      <c r="B11" s="18" t="s">
        <v>125</v>
      </c>
      <c r="C11" s="25" t="s">
        <v>142</v>
      </c>
      <c r="D11" s="19" t="s">
        <v>50</v>
      </c>
      <c r="F11" s="3" t="s">
        <v>143</v>
      </c>
      <c r="G11" s="3" t="s">
        <v>144</v>
      </c>
      <c r="I11" s="1" t="s">
        <v>67</v>
      </c>
    </row>
    <row r="12" spans="2:9" x14ac:dyDescent="0.2">
      <c r="B12" s="18" t="s">
        <v>128</v>
      </c>
      <c r="C12" s="3" t="s">
        <v>128</v>
      </c>
      <c r="D12" s="19" t="s">
        <v>123</v>
      </c>
      <c r="F12" s="3" t="s">
        <v>145</v>
      </c>
      <c r="G12" s="1" t="s">
        <v>146</v>
      </c>
      <c r="I12" s="1" t="s">
        <v>68</v>
      </c>
    </row>
    <row r="13" spans="2:9" x14ac:dyDescent="0.2">
      <c r="B13" s="18" t="s">
        <v>130</v>
      </c>
      <c r="C13" s="3" t="s">
        <v>130</v>
      </c>
      <c r="D13" s="19" t="s">
        <v>123</v>
      </c>
      <c r="F13" s="3" t="s">
        <v>147</v>
      </c>
      <c r="G13" s="1" t="s">
        <v>148</v>
      </c>
      <c r="I13" s="1" t="s">
        <v>69</v>
      </c>
    </row>
    <row r="14" spans="2:9" x14ac:dyDescent="0.2">
      <c r="B14" s="18" t="s">
        <v>132</v>
      </c>
      <c r="C14" s="3" t="s">
        <v>120</v>
      </c>
      <c r="D14" s="19" t="s">
        <v>121</v>
      </c>
      <c r="F14" s="3" t="s">
        <v>149</v>
      </c>
      <c r="G14" s="1" t="s">
        <v>150</v>
      </c>
      <c r="I14" s="1" t="s">
        <v>41</v>
      </c>
    </row>
    <row r="15" spans="2:9" x14ac:dyDescent="0.2">
      <c r="B15" s="18" t="s">
        <v>132</v>
      </c>
      <c r="C15" s="3" t="s">
        <v>134</v>
      </c>
      <c r="D15" s="19" t="s">
        <v>50</v>
      </c>
      <c r="F15" s="3" t="s">
        <v>151</v>
      </c>
      <c r="G15" s="1" t="s">
        <v>152</v>
      </c>
      <c r="I15" s="1" t="s">
        <v>70</v>
      </c>
    </row>
    <row r="16" spans="2:9" x14ac:dyDescent="0.2">
      <c r="B16" s="18" t="s">
        <v>132</v>
      </c>
      <c r="C16" s="3" t="s">
        <v>143</v>
      </c>
      <c r="D16" s="19" t="s">
        <v>50</v>
      </c>
      <c r="F16" s="3" t="s">
        <v>153</v>
      </c>
      <c r="G16" s="1" t="s">
        <v>154</v>
      </c>
    </row>
    <row r="17" spans="2:7" x14ac:dyDescent="0.2">
      <c r="B17" s="18" t="s">
        <v>132</v>
      </c>
      <c r="C17" s="3" t="s">
        <v>149</v>
      </c>
      <c r="D17" s="19" t="s">
        <v>50</v>
      </c>
      <c r="F17" s="3" t="s">
        <v>155</v>
      </c>
      <c r="G17" s="1" t="s">
        <v>156</v>
      </c>
    </row>
    <row r="18" spans="2:7" x14ac:dyDescent="0.2">
      <c r="B18" s="18" t="s">
        <v>132</v>
      </c>
      <c r="C18" s="3" t="s">
        <v>132</v>
      </c>
      <c r="D18" s="19" t="s">
        <v>43</v>
      </c>
      <c r="F18" s="3" t="s">
        <v>125</v>
      </c>
      <c r="G18" s="1" t="s">
        <v>157</v>
      </c>
    </row>
    <row r="19" spans="2:7" x14ac:dyDescent="0.2">
      <c r="B19" s="18" t="s">
        <v>132</v>
      </c>
      <c r="C19" s="3" t="s">
        <v>158</v>
      </c>
      <c r="D19" s="19" t="s">
        <v>50</v>
      </c>
      <c r="F19" s="3" t="s">
        <v>159</v>
      </c>
      <c r="G19" s="1" t="s">
        <v>160</v>
      </c>
    </row>
    <row r="20" spans="2:7" x14ac:dyDescent="0.2">
      <c r="B20" s="18" t="s">
        <v>132</v>
      </c>
      <c r="C20" s="3" t="s">
        <v>161</v>
      </c>
      <c r="D20" s="19" t="s">
        <v>50</v>
      </c>
      <c r="F20" s="3" t="s">
        <v>46</v>
      </c>
      <c r="G20" s="1" t="s">
        <v>162</v>
      </c>
    </row>
    <row r="21" spans="2:7" x14ac:dyDescent="0.2">
      <c r="B21" s="18" t="s">
        <v>132</v>
      </c>
      <c r="C21" s="3" t="s">
        <v>163</v>
      </c>
      <c r="D21" s="19" t="s">
        <v>50</v>
      </c>
      <c r="F21" s="3" t="s">
        <v>128</v>
      </c>
      <c r="G21" s="1" t="s">
        <v>164</v>
      </c>
    </row>
    <row r="22" spans="2:7" x14ac:dyDescent="0.2">
      <c r="B22" s="18" t="s">
        <v>132</v>
      </c>
      <c r="C22" s="3" t="s">
        <v>165</v>
      </c>
      <c r="D22" s="19" t="s">
        <v>45</v>
      </c>
      <c r="F22" s="3" t="s">
        <v>166</v>
      </c>
      <c r="G22" s="1" t="s">
        <v>167</v>
      </c>
    </row>
    <row r="23" spans="2:7" x14ac:dyDescent="0.2">
      <c r="B23" s="18" t="s">
        <v>132</v>
      </c>
      <c r="C23" s="3" t="s">
        <v>168</v>
      </c>
      <c r="D23" s="19" t="s">
        <v>50</v>
      </c>
      <c r="F23" s="3" t="s">
        <v>158</v>
      </c>
      <c r="G23" s="1" t="s">
        <v>169</v>
      </c>
    </row>
    <row r="24" spans="2:7" x14ac:dyDescent="0.2">
      <c r="B24" s="18" t="s">
        <v>132</v>
      </c>
      <c r="C24" s="3" t="s">
        <v>170</v>
      </c>
      <c r="D24" s="19" t="s">
        <v>50</v>
      </c>
      <c r="F24" s="3" t="s">
        <v>139</v>
      </c>
      <c r="G24" s="1" t="s">
        <v>171</v>
      </c>
    </row>
    <row r="25" spans="2:7" x14ac:dyDescent="0.2">
      <c r="B25" s="18" t="s">
        <v>132</v>
      </c>
      <c r="C25" s="3" t="s">
        <v>172</v>
      </c>
      <c r="D25" s="19" t="s">
        <v>50</v>
      </c>
      <c r="F25" s="3" t="s">
        <v>161</v>
      </c>
      <c r="G25" s="1" t="s">
        <v>173</v>
      </c>
    </row>
    <row r="26" spans="2:7" x14ac:dyDescent="0.2">
      <c r="B26" s="18" t="s">
        <v>132</v>
      </c>
      <c r="C26" s="3" t="s">
        <v>174</v>
      </c>
      <c r="D26" s="19" t="s">
        <v>50</v>
      </c>
      <c r="F26" s="3" t="s">
        <v>163</v>
      </c>
      <c r="G26" s="1" t="s">
        <v>175</v>
      </c>
    </row>
    <row r="27" spans="2:7" x14ac:dyDescent="0.2">
      <c r="B27" s="18" t="s">
        <v>132</v>
      </c>
      <c r="C27" s="3" t="s">
        <v>176</v>
      </c>
      <c r="D27" s="19" t="s">
        <v>45</v>
      </c>
      <c r="F27" s="3" t="s">
        <v>177</v>
      </c>
      <c r="G27" s="1" t="s">
        <v>178</v>
      </c>
    </row>
    <row r="28" spans="2:7" x14ac:dyDescent="0.2">
      <c r="B28" s="18" t="s">
        <v>132</v>
      </c>
      <c r="C28" s="3" t="s">
        <v>179</v>
      </c>
      <c r="D28" s="19" t="s">
        <v>123</v>
      </c>
      <c r="F28" s="3" t="s">
        <v>165</v>
      </c>
      <c r="G28" s="1" t="s">
        <v>180</v>
      </c>
    </row>
    <row r="29" spans="2:7" x14ac:dyDescent="0.2">
      <c r="B29" s="18" t="s">
        <v>132</v>
      </c>
      <c r="C29" s="3" t="s">
        <v>181</v>
      </c>
      <c r="D29" s="19" t="s">
        <v>50</v>
      </c>
      <c r="F29" s="3" t="s">
        <v>130</v>
      </c>
      <c r="G29" s="1" t="s">
        <v>182</v>
      </c>
    </row>
    <row r="30" spans="2:7" x14ac:dyDescent="0.2">
      <c r="B30" s="18" t="s">
        <v>132</v>
      </c>
      <c r="C30" s="3" t="s">
        <v>183</v>
      </c>
      <c r="D30" s="19" t="s">
        <v>45</v>
      </c>
      <c r="F30" s="3" t="s">
        <v>168</v>
      </c>
      <c r="G30" s="1" t="s">
        <v>184</v>
      </c>
    </row>
    <row r="31" spans="2:7" x14ac:dyDescent="0.2">
      <c r="B31" s="18" t="s">
        <v>132</v>
      </c>
      <c r="C31" s="3" t="s">
        <v>185</v>
      </c>
      <c r="D31" s="19" t="s">
        <v>50</v>
      </c>
      <c r="F31" s="3" t="s">
        <v>186</v>
      </c>
      <c r="G31" s="1" t="s">
        <v>187</v>
      </c>
    </row>
    <row r="32" spans="2:7" x14ac:dyDescent="0.2">
      <c r="B32" s="18" t="s">
        <v>132</v>
      </c>
      <c r="C32" s="3" t="s">
        <v>188</v>
      </c>
      <c r="D32" s="19" t="s">
        <v>50</v>
      </c>
      <c r="F32" s="3" t="s">
        <v>51</v>
      </c>
      <c r="G32" s="1" t="s">
        <v>189</v>
      </c>
    </row>
    <row r="33" spans="2:7" x14ac:dyDescent="0.2">
      <c r="B33" s="18" t="s">
        <v>132</v>
      </c>
      <c r="C33" s="3" t="s">
        <v>190</v>
      </c>
      <c r="D33" s="19" t="s">
        <v>50</v>
      </c>
      <c r="F33" s="3" t="s">
        <v>191</v>
      </c>
      <c r="G33" s="1" t="s">
        <v>192</v>
      </c>
    </row>
    <row r="34" spans="2:7" x14ac:dyDescent="0.2">
      <c r="B34" s="18" t="s">
        <v>132</v>
      </c>
      <c r="C34" s="3" t="s">
        <v>193</v>
      </c>
      <c r="D34" s="19" t="s">
        <v>50</v>
      </c>
      <c r="F34" s="3" t="s">
        <v>194</v>
      </c>
      <c r="G34" s="1" t="s">
        <v>195</v>
      </c>
    </row>
    <row r="35" spans="2:7" x14ac:dyDescent="0.2">
      <c r="B35" s="18" t="s">
        <v>132</v>
      </c>
      <c r="C35" s="3" t="s">
        <v>196</v>
      </c>
      <c r="D35" s="19" t="s">
        <v>45</v>
      </c>
      <c r="F35" s="3" t="s">
        <v>140</v>
      </c>
      <c r="G35" s="1" t="s">
        <v>197</v>
      </c>
    </row>
    <row r="36" spans="2:7" x14ac:dyDescent="0.2">
      <c r="B36" s="18" t="s">
        <v>132</v>
      </c>
      <c r="C36" s="3" t="s">
        <v>198</v>
      </c>
      <c r="D36" s="19" t="s">
        <v>45</v>
      </c>
      <c r="F36" s="3" t="s">
        <v>122</v>
      </c>
      <c r="G36" s="1" t="s">
        <v>199</v>
      </c>
    </row>
    <row r="37" spans="2:7" x14ac:dyDescent="0.2">
      <c r="B37" s="18" t="s">
        <v>132</v>
      </c>
      <c r="C37" s="3" t="s">
        <v>200</v>
      </c>
      <c r="D37" s="19" t="s">
        <v>50</v>
      </c>
      <c r="F37" s="3" t="s">
        <v>126</v>
      </c>
    </row>
    <row r="38" spans="2:7" x14ac:dyDescent="0.2">
      <c r="B38" s="18" t="s">
        <v>135</v>
      </c>
      <c r="C38" s="3" t="s">
        <v>137</v>
      </c>
      <c r="D38" s="19" t="s">
        <v>50</v>
      </c>
      <c r="F38" s="3" t="s">
        <v>201</v>
      </c>
    </row>
    <row r="39" spans="2:7" x14ac:dyDescent="0.2">
      <c r="B39" s="18" t="s">
        <v>135</v>
      </c>
      <c r="C39" s="3" t="s">
        <v>147</v>
      </c>
      <c r="D39" s="19" t="s">
        <v>50</v>
      </c>
      <c r="F39" s="3" t="s">
        <v>202</v>
      </c>
    </row>
    <row r="40" spans="2:7" x14ac:dyDescent="0.2">
      <c r="B40" s="18" t="s">
        <v>135</v>
      </c>
      <c r="C40" s="3" t="s">
        <v>151</v>
      </c>
      <c r="D40" s="19" t="s">
        <v>50</v>
      </c>
      <c r="F40" s="3" t="s">
        <v>203</v>
      </c>
    </row>
    <row r="41" spans="2:7" x14ac:dyDescent="0.2">
      <c r="B41" s="18" t="s">
        <v>135</v>
      </c>
      <c r="C41" s="3" t="s">
        <v>153</v>
      </c>
      <c r="D41" s="19" t="s">
        <v>50</v>
      </c>
      <c r="F41" s="3" t="s">
        <v>204</v>
      </c>
    </row>
    <row r="42" spans="2:7" x14ac:dyDescent="0.2">
      <c r="B42" s="18" t="s">
        <v>135</v>
      </c>
      <c r="C42" s="3" t="s">
        <v>205</v>
      </c>
      <c r="D42" s="19" t="s">
        <v>43</v>
      </c>
      <c r="F42" s="3" t="s">
        <v>132</v>
      </c>
    </row>
    <row r="43" spans="2:7" x14ac:dyDescent="0.2">
      <c r="B43" s="18" t="s">
        <v>135</v>
      </c>
      <c r="C43" s="3" t="s">
        <v>206</v>
      </c>
      <c r="D43" s="19" t="s">
        <v>50</v>
      </c>
      <c r="F43" s="3" t="s">
        <v>205</v>
      </c>
    </row>
    <row r="44" spans="2:7" x14ac:dyDescent="0.2">
      <c r="B44" s="18" t="s">
        <v>135</v>
      </c>
      <c r="C44" s="3" t="s">
        <v>207</v>
      </c>
      <c r="D44" s="19" t="s">
        <v>50</v>
      </c>
      <c r="F44" s="3" t="s">
        <v>138</v>
      </c>
    </row>
    <row r="45" spans="2:7" x14ac:dyDescent="0.2">
      <c r="B45" s="18" t="s">
        <v>135</v>
      </c>
      <c r="C45" s="3" t="s">
        <v>208</v>
      </c>
      <c r="D45" s="19" t="s">
        <v>50</v>
      </c>
      <c r="F45" s="3" t="s">
        <v>42</v>
      </c>
    </row>
    <row r="46" spans="2:7" x14ac:dyDescent="0.2">
      <c r="B46" s="18" t="s">
        <v>135</v>
      </c>
      <c r="C46" s="3" t="s">
        <v>209</v>
      </c>
      <c r="D46" s="19" t="s">
        <v>50</v>
      </c>
      <c r="F46" s="3" t="s">
        <v>141</v>
      </c>
    </row>
    <row r="47" spans="2:7" x14ac:dyDescent="0.2">
      <c r="B47" s="18" t="s">
        <v>135</v>
      </c>
      <c r="C47" s="3" t="s">
        <v>210</v>
      </c>
      <c r="D47" s="19" t="s">
        <v>50</v>
      </c>
      <c r="F47" s="3" t="s">
        <v>144</v>
      </c>
    </row>
    <row r="48" spans="2:7" x14ac:dyDescent="0.2">
      <c r="B48" s="18" t="s">
        <v>135</v>
      </c>
      <c r="C48" s="3" t="s">
        <v>211</v>
      </c>
      <c r="D48" s="19" t="s">
        <v>50</v>
      </c>
      <c r="F48" s="3" t="s">
        <v>146</v>
      </c>
    </row>
    <row r="49" spans="2:6" x14ac:dyDescent="0.2">
      <c r="B49" s="18" t="s">
        <v>135</v>
      </c>
      <c r="C49" s="3" t="s">
        <v>212</v>
      </c>
      <c r="D49" s="19" t="s">
        <v>50</v>
      </c>
      <c r="F49" s="3" t="s">
        <v>148</v>
      </c>
    </row>
    <row r="50" spans="2:6" x14ac:dyDescent="0.2">
      <c r="B50" s="18" t="s">
        <v>135</v>
      </c>
      <c r="C50" s="3" t="s">
        <v>213</v>
      </c>
      <c r="D50" s="19" t="s">
        <v>45</v>
      </c>
      <c r="F50" s="3" t="s">
        <v>214</v>
      </c>
    </row>
    <row r="51" spans="2:6" x14ac:dyDescent="0.2">
      <c r="B51" s="18" t="s">
        <v>135</v>
      </c>
      <c r="C51" s="3" t="s">
        <v>215</v>
      </c>
      <c r="D51" s="19" t="s">
        <v>50</v>
      </c>
      <c r="F51" s="3" t="s">
        <v>216</v>
      </c>
    </row>
    <row r="52" spans="2:6" x14ac:dyDescent="0.2">
      <c r="B52" s="18" t="s">
        <v>135</v>
      </c>
      <c r="C52" s="3" t="s">
        <v>217</v>
      </c>
      <c r="D52" s="19" t="s">
        <v>50</v>
      </c>
      <c r="F52" s="3" t="s">
        <v>218</v>
      </c>
    </row>
    <row r="53" spans="2:6" x14ac:dyDescent="0.2">
      <c r="B53" s="18" t="s">
        <v>135</v>
      </c>
      <c r="C53" s="3" t="s">
        <v>219</v>
      </c>
      <c r="D53" s="19" t="s">
        <v>50</v>
      </c>
      <c r="F53" s="3" t="s">
        <v>220</v>
      </c>
    </row>
    <row r="54" spans="2:6" x14ac:dyDescent="0.2">
      <c r="B54" s="18" t="s">
        <v>135</v>
      </c>
      <c r="C54" s="3" t="s">
        <v>221</v>
      </c>
      <c r="D54" s="19" t="s">
        <v>50</v>
      </c>
      <c r="F54" s="3" t="s">
        <v>222</v>
      </c>
    </row>
    <row r="55" spans="2:6" x14ac:dyDescent="0.2">
      <c r="B55" s="18" t="s">
        <v>135</v>
      </c>
      <c r="C55" s="3" t="s">
        <v>223</v>
      </c>
      <c r="D55" s="19" t="s">
        <v>50</v>
      </c>
      <c r="F55" s="3" t="s">
        <v>224</v>
      </c>
    </row>
    <row r="56" spans="2:6" x14ac:dyDescent="0.2">
      <c r="B56" s="18" t="s">
        <v>135</v>
      </c>
      <c r="C56" s="3" t="s">
        <v>225</v>
      </c>
      <c r="D56" s="19" t="s">
        <v>50</v>
      </c>
      <c r="F56" s="3" t="s">
        <v>226</v>
      </c>
    </row>
    <row r="57" spans="2:6" x14ac:dyDescent="0.2">
      <c r="B57" s="18" t="s">
        <v>135</v>
      </c>
      <c r="C57" s="3" t="s">
        <v>227</v>
      </c>
      <c r="D57" s="19" t="s">
        <v>50</v>
      </c>
      <c r="F57" s="3" t="s">
        <v>170</v>
      </c>
    </row>
    <row r="58" spans="2:6" x14ac:dyDescent="0.2">
      <c r="B58" s="18" t="s">
        <v>135</v>
      </c>
      <c r="C58" s="3" t="s">
        <v>228</v>
      </c>
      <c r="D58" s="19" t="s">
        <v>45</v>
      </c>
      <c r="F58" s="24" t="s">
        <v>229</v>
      </c>
    </row>
    <row r="59" spans="2:6" x14ac:dyDescent="0.2">
      <c r="B59" s="18" t="s">
        <v>135</v>
      </c>
      <c r="C59" s="3" t="s">
        <v>230</v>
      </c>
      <c r="D59" s="19" t="s">
        <v>50</v>
      </c>
      <c r="F59" s="3" t="s">
        <v>172</v>
      </c>
    </row>
    <row r="60" spans="2:6" x14ac:dyDescent="0.2">
      <c r="B60" s="18" t="s">
        <v>135</v>
      </c>
      <c r="C60" s="3" t="s">
        <v>231</v>
      </c>
      <c r="D60" s="19" t="s">
        <v>50</v>
      </c>
      <c r="F60" s="3" t="s">
        <v>232</v>
      </c>
    </row>
    <row r="61" spans="2:6" x14ac:dyDescent="0.2">
      <c r="B61" s="18" t="s">
        <v>135</v>
      </c>
      <c r="C61" s="3" t="s">
        <v>233</v>
      </c>
      <c r="D61" s="19" t="s">
        <v>50</v>
      </c>
      <c r="F61" s="3" t="s">
        <v>52</v>
      </c>
    </row>
    <row r="62" spans="2:6" x14ac:dyDescent="0.2">
      <c r="B62" s="18" t="s">
        <v>135</v>
      </c>
      <c r="C62" s="3" t="s">
        <v>234</v>
      </c>
      <c r="D62" s="19" t="s">
        <v>50</v>
      </c>
      <c r="F62" s="25" t="s">
        <v>142</v>
      </c>
    </row>
    <row r="63" spans="2:6" x14ac:dyDescent="0.2">
      <c r="B63" s="18" t="s">
        <v>135</v>
      </c>
      <c r="C63" s="3" t="s">
        <v>235</v>
      </c>
      <c r="D63" s="19" t="s">
        <v>50</v>
      </c>
      <c r="F63" s="3" t="s">
        <v>152</v>
      </c>
    </row>
    <row r="64" spans="2:6" x14ac:dyDescent="0.2">
      <c r="B64" s="18" t="s">
        <v>135</v>
      </c>
      <c r="C64" s="3" t="s">
        <v>236</v>
      </c>
      <c r="D64" s="19" t="s">
        <v>50</v>
      </c>
      <c r="F64" s="3" t="s">
        <v>237</v>
      </c>
    </row>
    <row r="65" spans="2:6" x14ac:dyDescent="0.2">
      <c r="B65" s="18" t="s">
        <v>135</v>
      </c>
      <c r="C65" s="3" t="s">
        <v>238</v>
      </c>
      <c r="D65" s="19" t="s">
        <v>50</v>
      </c>
      <c r="F65" s="3" t="s">
        <v>174</v>
      </c>
    </row>
    <row r="66" spans="2:6" x14ac:dyDescent="0.2">
      <c r="B66" s="18" t="s">
        <v>135</v>
      </c>
      <c r="C66" s="3" t="s">
        <v>239</v>
      </c>
      <c r="D66" s="19" t="s">
        <v>50</v>
      </c>
      <c r="F66" s="3" t="s">
        <v>154</v>
      </c>
    </row>
    <row r="67" spans="2:6" x14ac:dyDescent="0.2">
      <c r="B67" s="18" t="s">
        <v>135</v>
      </c>
      <c r="C67" s="3" t="s">
        <v>240</v>
      </c>
      <c r="D67" s="19" t="s">
        <v>50</v>
      </c>
      <c r="F67" s="3" t="s">
        <v>156</v>
      </c>
    </row>
    <row r="68" spans="2:6" x14ac:dyDescent="0.2">
      <c r="B68" s="18" t="s">
        <v>135</v>
      </c>
      <c r="C68" s="3" t="s">
        <v>241</v>
      </c>
      <c r="D68" s="19" t="s">
        <v>50</v>
      </c>
      <c r="F68" s="3" t="s">
        <v>206</v>
      </c>
    </row>
    <row r="69" spans="2:6" x14ac:dyDescent="0.2">
      <c r="B69" s="18" t="s">
        <v>138</v>
      </c>
      <c r="C69" s="3" t="s">
        <v>186</v>
      </c>
      <c r="D69" s="19" t="s">
        <v>50</v>
      </c>
      <c r="F69" s="3" t="s">
        <v>242</v>
      </c>
    </row>
    <row r="70" spans="2:6" x14ac:dyDescent="0.2">
      <c r="B70" s="18" t="s">
        <v>138</v>
      </c>
      <c r="C70" s="3" t="s">
        <v>138</v>
      </c>
      <c r="D70" s="19" t="s">
        <v>43</v>
      </c>
      <c r="F70" s="3" t="s">
        <v>207</v>
      </c>
    </row>
    <row r="71" spans="2:6" x14ac:dyDescent="0.2">
      <c r="B71" s="18" t="s">
        <v>138</v>
      </c>
      <c r="C71" s="24" t="s">
        <v>243</v>
      </c>
      <c r="D71" s="19" t="s">
        <v>45</v>
      </c>
      <c r="F71" s="3" t="s">
        <v>157</v>
      </c>
    </row>
    <row r="72" spans="2:6" x14ac:dyDescent="0.2">
      <c r="B72" s="18" t="s">
        <v>138</v>
      </c>
      <c r="C72" s="3" t="s">
        <v>232</v>
      </c>
      <c r="D72" s="19" t="s">
        <v>50</v>
      </c>
      <c r="F72" s="3" t="s">
        <v>244</v>
      </c>
    </row>
    <row r="73" spans="2:6" x14ac:dyDescent="0.2">
      <c r="B73" s="18" t="s">
        <v>138</v>
      </c>
      <c r="C73" s="3" t="s">
        <v>245</v>
      </c>
      <c r="D73" s="19" t="s">
        <v>45</v>
      </c>
      <c r="F73" s="3" t="s">
        <v>129</v>
      </c>
    </row>
    <row r="74" spans="2:6" x14ac:dyDescent="0.2">
      <c r="B74" s="18" t="s">
        <v>138</v>
      </c>
      <c r="C74" s="3" t="s">
        <v>246</v>
      </c>
      <c r="D74" s="19" t="s">
        <v>50</v>
      </c>
      <c r="F74" s="3" t="s">
        <v>247</v>
      </c>
    </row>
    <row r="75" spans="2:6" x14ac:dyDescent="0.2">
      <c r="B75" s="18" t="s">
        <v>138</v>
      </c>
      <c r="C75" s="3" t="s">
        <v>248</v>
      </c>
      <c r="D75" s="19" t="s">
        <v>45</v>
      </c>
      <c r="F75" s="3" t="s">
        <v>249</v>
      </c>
    </row>
    <row r="76" spans="2:6" x14ac:dyDescent="0.2">
      <c r="B76" s="18" t="s">
        <v>138</v>
      </c>
      <c r="C76" s="3" t="s">
        <v>250</v>
      </c>
      <c r="D76" s="19" t="s">
        <v>50</v>
      </c>
      <c r="F76" s="3" t="s">
        <v>251</v>
      </c>
    </row>
    <row r="77" spans="2:6" x14ac:dyDescent="0.2">
      <c r="B77" s="18" t="s">
        <v>138</v>
      </c>
      <c r="C77" s="3" t="s">
        <v>252</v>
      </c>
      <c r="D77" s="19" t="s">
        <v>50</v>
      </c>
      <c r="F77" s="3" t="s">
        <v>253</v>
      </c>
    </row>
    <row r="78" spans="2:6" x14ac:dyDescent="0.2">
      <c r="B78" s="18" t="s">
        <v>138</v>
      </c>
      <c r="C78" s="3" t="s">
        <v>254</v>
      </c>
      <c r="D78" s="19" t="s">
        <v>50</v>
      </c>
      <c r="F78" s="3" t="s">
        <v>255</v>
      </c>
    </row>
    <row r="79" spans="2:6" x14ac:dyDescent="0.2">
      <c r="B79" s="18" t="s">
        <v>138</v>
      </c>
      <c r="C79" s="3" t="s">
        <v>256</v>
      </c>
      <c r="D79" s="19" t="s">
        <v>50</v>
      </c>
      <c r="F79" s="3" t="s">
        <v>257</v>
      </c>
    </row>
    <row r="80" spans="2:6" x14ac:dyDescent="0.2">
      <c r="B80" s="18" t="s">
        <v>42</v>
      </c>
      <c r="C80" s="3" t="s">
        <v>124</v>
      </c>
      <c r="D80" s="19" t="s">
        <v>50</v>
      </c>
      <c r="F80" s="3" t="s">
        <v>208</v>
      </c>
    </row>
    <row r="81" spans="2:6" x14ac:dyDescent="0.2">
      <c r="B81" s="18" t="s">
        <v>42</v>
      </c>
      <c r="C81" s="3" t="s">
        <v>127</v>
      </c>
      <c r="D81" s="19" t="s">
        <v>50</v>
      </c>
      <c r="F81" s="3" t="s">
        <v>258</v>
      </c>
    </row>
    <row r="82" spans="2:6" x14ac:dyDescent="0.2">
      <c r="B82" s="18" t="s">
        <v>42</v>
      </c>
      <c r="C82" s="3" t="s">
        <v>49</v>
      </c>
      <c r="D82" s="19" t="s">
        <v>50</v>
      </c>
      <c r="F82" s="3" t="s">
        <v>179</v>
      </c>
    </row>
    <row r="83" spans="2:6" x14ac:dyDescent="0.2">
      <c r="B83" s="18" t="s">
        <v>42</v>
      </c>
      <c r="C83" s="3" t="s">
        <v>44</v>
      </c>
      <c r="D83" s="19" t="s">
        <v>45</v>
      </c>
      <c r="F83" s="3" t="s">
        <v>160</v>
      </c>
    </row>
    <row r="84" spans="2:6" x14ac:dyDescent="0.2">
      <c r="B84" s="18" t="s">
        <v>42</v>
      </c>
      <c r="C84" s="3" t="s">
        <v>46</v>
      </c>
      <c r="D84" s="19" t="s">
        <v>45</v>
      </c>
      <c r="F84" s="3" t="s">
        <v>162</v>
      </c>
    </row>
    <row r="85" spans="2:6" x14ac:dyDescent="0.2">
      <c r="B85" s="18" t="s">
        <v>42</v>
      </c>
      <c r="C85" s="3" t="s">
        <v>51</v>
      </c>
      <c r="D85" s="19" t="s">
        <v>50</v>
      </c>
      <c r="F85" s="3" t="s">
        <v>259</v>
      </c>
    </row>
    <row r="86" spans="2:6" x14ac:dyDescent="0.2">
      <c r="B86" s="18" t="s">
        <v>42</v>
      </c>
      <c r="C86" s="3" t="s">
        <v>42</v>
      </c>
      <c r="D86" s="19" t="s">
        <v>43</v>
      </c>
      <c r="F86" s="3" t="s">
        <v>260</v>
      </c>
    </row>
    <row r="87" spans="2:6" x14ac:dyDescent="0.2">
      <c r="B87" s="18" t="s">
        <v>42</v>
      </c>
      <c r="C87" s="3" t="s">
        <v>52</v>
      </c>
      <c r="D87" s="19" t="s">
        <v>50</v>
      </c>
      <c r="F87" s="3" t="s">
        <v>209</v>
      </c>
    </row>
    <row r="88" spans="2:6" x14ac:dyDescent="0.2">
      <c r="B88" s="18" t="s">
        <v>42</v>
      </c>
      <c r="C88" s="3" t="s">
        <v>53</v>
      </c>
      <c r="D88" s="19" t="s">
        <v>50</v>
      </c>
      <c r="F88" s="3" t="s">
        <v>210</v>
      </c>
    </row>
    <row r="89" spans="2:6" x14ac:dyDescent="0.2">
      <c r="B89" s="18" t="s">
        <v>42</v>
      </c>
      <c r="C89" s="3" t="s">
        <v>54</v>
      </c>
      <c r="D89" s="19" t="s">
        <v>50</v>
      </c>
      <c r="F89" s="3" t="s">
        <v>261</v>
      </c>
    </row>
    <row r="90" spans="2:6" x14ac:dyDescent="0.2">
      <c r="B90" s="18" t="s">
        <v>42</v>
      </c>
      <c r="C90" s="3" t="s">
        <v>55</v>
      </c>
      <c r="D90" s="19" t="s">
        <v>50</v>
      </c>
      <c r="F90" s="3" t="s">
        <v>262</v>
      </c>
    </row>
    <row r="91" spans="2:6" x14ac:dyDescent="0.2">
      <c r="B91" s="18" t="s">
        <v>42</v>
      </c>
      <c r="C91" s="3" t="s">
        <v>56</v>
      </c>
      <c r="D91" s="19" t="s">
        <v>50</v>
      </c>
      <c r="F91" s="3" t="s">
        <v>263</v>
      </c>
    </row>
    <row r="92" spans="2:6" x14ac:dyDescent="0.2">
      <c r="B92" s="18" t="s">
        <v>42</v>
      </c>
      <c r="C92" s="3" t="s">
        <v>57</v>
      </c>
      <c r="D92" s="19" t="s">
        <v>50</v>
      </c>
      <c r="F92" s="3" t="s">
        <v>211</v>
      </c>
    </row>
    <row r="93" spans="2:6" x14ac:dyDescent="0.2">
      <c r="B93" s="18" t="s">
        <v>42</v>
      </c>
      <c r="C93" s="3" t="s">
        <v>47</v>
      </c>
      <c r="D93" s="19" t="s">
        <v>45</v>
      </c>
      <c r="F93" s="3" t="s">
        <v>264</v>
      </c>
    </row>
    <row r="94" spans="2:6" x14ac:dyDescent="0.2">
      <c r="B94" s="18" t="s">
        <v>42</v>
      </c>
      <c r="C94" s="3" t="s">
        <v>58</v>
      </c>
      <c r="D94" s="19" t="s">
        <v>50</v>
      </c>
      <c r="F94" s="3" t="s">
        <v>265</v>
      </c>
    </row>
    <row r="95" spans="2:6" x14ac:dyDescent="0.2">
      <c r="B95" s="18" t="s">
        <v>42</v>
      </c>
      <c r="C95" s="3" t="s">
        <v>48</v>
      </c>
      <c r="D95" s="19" t="s">
        <v>45</v>
      </c>
      <c r="F95" s="3" t="s">
        <v>266</v>
      </c>
    </row>
    <row r="96" spans="2:6" x14ac:dyDescent="0.2">
      <c r="B96" s="18" t="s">
        <v>141</v>
      </c>
      <c r="C96" s="3" t="s">
        <v>141</v>
      </c>
      <c r="D96" s="19" t="s">
        <v>43</v>
      </c>
      <c r="F96" s="3" t="s">
        <v>267</v>
      </c>
    </row>
    <row r="97" spans="2:6" x14ac:dyDescent="0.2">
      <c r="B97" s="18" t="s">
        <v>146</v>
      </c>
      <c r="C97" s="3" t="s">
        <v>155</v>
      </c>
      <c r="D97" s="19" t="s">
        <v>50</v>
      </c>
      <c r="F97" s="3" t="s">
        <v>212</v>
      </c>
    </row>
    <row r="98" spans="2:6" x14ac:dyDescent="0.2">
      <c r="B98" s="18" t="s">
        <v>146</v>
      </c>
      <c r="C98" s="3" t="s">
        <v>146</v>
      </c>
      <c r="D98" s="19" t="s">
        <v>43</v>
      </c>
      <c r="F98" s="3" t="s">
        <v>176</v>
      </c>
    </row>
    <row r="99" spans="2:6" x14ac:dyDescent="0.2">
      <c r="B99" s="18" t="s">
        <v>146</v>
      </c>
      <c r="C99" s="3" t="s">
        <v>216</v>
      </c>
      <c r="D99" s="19" t="s">
        <v>50</v>
      </c>
      <c r="F99" s="3" t="s">
        <v>254</v>
      </c>
    </row>
    <row r="100" spans="2:6" x14ac:dyDescent="0.2">
      <c r="B100" s="18" t="s">
        <v>146</v>
      </c>
      <c r="C100" s="3" t="s">
        <v>222</v>
      </c>
      <c r="D100" s="19" t="s">
        <v>45</v>
      </c>
      <c r="F100" s="3" t="s">
        <v>53</v>
      </c>
    </row>
    <row r="101" spans="2:6" x14ac:dyDescent="0.2">
      <c r="B101" s="18" t="s">
        <v>146</v>
      </c>
      <c r="C101" s="3" t="s">
        <v>224</v>
      </c>
      <c r="D101" s="19" t="s">
        <v>45</v>
      </c>
      <c r="F101" s="3" t="s">
        <v>268</v>
      </c>
    </row>
    <row r="102" spans="2:6" x14ac:dyDescent="0.2">
      <c r="B102" s="18" t="s">
        <v>146</v>
      </c>
      <c r="C102" s="3" t="s">
        <v>257</v>
      </c>
      <c r="D102" s="19" t="s">
        <v>50</v>
      </c>
      <c r="F102" s="3" t="s">
        <v>269</v>
      </c>
    </row>
    <row r="103" spans="2:6" x14ac:dyDescent="0.2">
      <c r="B103" s="18" t="s">
        <v>146</v>
      </c>
      <c r="C103" s="3" t="s">
        <v>270</v>
      </c>
      <c r="D103" s="19" t="s">
        <v>45</v>
      </c>
      <c r="F103" s="3" t="s">
        <v>271</v>
      </c>
    </row>
    <row r="104" spans="2:6" x14ac:dyDescent="0.2">
      <c r="B104" s="18" t="s">
        <v>146</v>
      </c>
      <c r="C104" s="3" t="s">
        <v>272</v>
      </c>
      <c r="D104" s="19" t="s">
        <v>50</v>
      </c>
      <c r="F104" s="3" t="s">
        <v>273</v>
      </c>
    </row>
    <row r="105" spans="2:6" x14ac:dyDescent="0.2">
      <c r="B105" s="18" t="s">
        <v>146</v>
      </c>
      <c r="C105" s="3" t="s">
        <v>182</v>
      </c>
      <c r="D105" s="19" t="s">
        <v>123</v>
      </c>
      <c r="F105" s="3" t="s">
        <v>256</v>
      </c>
    </row>
    <row r="106" spans="2:6" x14ac:dyDescent="0.2">
      <c r="B106" s="18" t="s">
        <v>146</v>
      </c>
      <c r="C106" s="3" t="s">
        <v>274</v>
      </c>
      <c r="D106" s="19" t="s">
        <v>50</v>
      </c>
      <c r="F106" s="3" t="s">
        <v>54</v>
      </c>
    </row>
    <row r="107" spans="2:6" x14ac:dyDescent="0.2">
      <c r="B107" s="18" t="s">
        <v>146</v>
      </c>
      <c r="C107" s="3" t="s">
        <v>275</v>
      </c>
      <c r="D107" s="19" t="s">
        <v>50</v>
      </c>
      <c r="F107" s="3" t="s">
        <v>270</v>
      </c>
    </row>
    <row r="108" spans="2:6" x14ac:dyDescent="0.2">
      <c r="B108" s="18" t="s">
        <v>146</v>
      </c>
      <c r="C108" s="3" t="s">
        <v>276</v>
      </c>
      <c r="D108" s="19" t="s">
        <v>45</v>
      </c>
      <c r="F108" s="3" t="s">
        <v>277</v>
      </c>
    </row>
    <row r="109" spans="2:6" x14ac:dyDescent="0.2">
      <c r="B109" s="18" t="s">
        <v>148</v>
      </c>
      <c r="C109" s="3" t="s">
        <v>148</v>
      </c>
      <c r="D109" s="19" t="s">
        <v>43</v>
      </c>
      <c r="F109" s="3" t="s">
        <v>181</v>
      </c>
    </row>
    <row r="110" spans="2:6" x14ac:dyDescent="0.2">
      <c r="B110" s="18" t="s">
        <v>148</v>
      </c>
      <c r="C110" s="3" t="s">
        <v>218</v>
      </c>
      <c r="D110" s="19" t="s">
        <v>50</v>
      </c>
      <c r="F110" s="3" t="s">
        <v>278</v>
      </c>
    </row>
    <row r="111" spans="2:6" x14ac:dyDescent="0.2">
      <c r="B111" s="18" t="s">
        <v>148</v>
      </c>
      <c r="C111" s="3" t="s">
        <v>249</v>
      </c>
      <c r="D111" s="19" t="s">
        <v>121</v>
      </c>
      <c r="F111" s="3" t="s">
        <v>183</v>
      </c>
    </row>
    <row r="112" spans="2:6" x14ac:dyDescent="0.2">
      <c r="B112" s="18" t="s">
        <v>148</v>
      </c>
      <c r="C112" s="3" t="s">
        <v>265</v>
      </c>
      <c r="D112" s="19" t="s">
        <v>50</v>
      </c>
      <c r="F112" s="3" t="s">
        <v>167</v>
      </c>
    </row>
    <row r="113" spans="2:6" x14ac:dyDescent="0.2">
      <c r="B113" s="18" t="s">
        <v>148</v>
      </c>
      <c r="C113" s="3" t="s">
        <v>279</v>
      </c>
      <c r="D113" s="19" t="s">
        <v>50</v>
      </c>
      <c r="F113" s="3" t="s">
        <v>169</v>
      </c>
    </row>
    <row r="114" spans="2:6" x14ac:dyDescent="0.2">
      <c r="B114" s="18" t="s">
        <v>148</v>
      </c>
      <c r="C114" s="3" t="s">
        <v>280</v>
      </c>
      <c r="D114" s="19" t="s">
        <v>50</v>
      </c>
      <c r="F114" s="3" t="s">
        <v>281</v>
      </c>
    </row>
    <row r="115" spans="2:6" x14ac:dyDescent="0.2">
      <c r="B115" s="18" t="s">
        <v>148</v>
      </c>
      <c r="C115" s="3" t="s">
        <v>282</v>
      </c>
      <c r="D115" s="19" t="s">
        <v>50</v>
      </c>
      <c r="F115" s="3" t="s">
        <v>213</v>
      </c>
    </row>
    <row r="116" spans="2:6" x14ac:dyDescent="0.2">
      <c r="B116" s="18" t="s">
        <v>150</v>
      </c>
      <c r="C116" s="3" t="s">
        <v>159</v>
      </c>
      <c r="D116" s="19" t="s">
        <v>50</v>
      </c>
      <c r="F116" s="3" t="s">
        <v>283</v>
      </c>
    </row>
    <row r="117" spans="2:6" x14ac:dyDescent="0.2">
      <c r="B117" s="18" t="s">
        <v>150</v>
      </c>
      <c r="C117" s="3" t="s">
        <v>214</v>
      </c>
      <c r="D117" s="19" t="s">
        <v>43</v>
      </c>
      <c r="F117" s="3" t="s">
        <v>171</v>
      </c>
    </row>
    <row r="118" spans="2:6" x14ac:dyDescent="0.2">
      <c r="B118" s="18" t="s">
        <v>150</v>
      </c>
      <c r="C118" s="3" t="s">
        <v>251</v>
      </c>
      <c r="D118" s="19" t="s">
        <v>50</v>
      </c>
      <c r="F118" s="3" t="s">
        <v>279</v>
      </c>
    </row>
    <row r="119" spans="2:6" x14ac:dyDescent="0.2">
      <c r="B119" s="18" t="s">
        <v>150</v>
      </c>
      <c r="C119" s="3" t="s">
        <v>253</v>
      </c>
      <c r="D119" s="19" t="s">
        <v>50</v>
      </c>
      <c r="F119" s="3" t="s">
        <v>55</v>
      </c>
    </row>
    <row r="120" spans="2:6" x14ac:dyDescent="0.2">
      <c r="B120" s="18" t="s">
        <v>150</v>
      </c>
      <c r="C120" s="3" t="s">
        <v>255</v>
      </c>
      <c r="D120" s="19" t="s">
        <v>50</v>
      </c>
      <c r="F120" s="3" t="s">
        <v>215</v>
      </c>
    </row>
    <row r="121" spans="2:6" x14ac:dyDescent="0.2">
      <c r="B121" s="18" t="s">
        <v>150</v>
      </c>
      <c r="C121" s="3" t="s">
        <v>262</v>
      </c>
      <c r="D121" s="19" t="s">
        <v>50</v>
      </c>
      <c r="F121" s="3" t="s">
        <v>217</v>
      </c>
    </row>
    <row r="122" spans="2:6" x14ac:dyDescent="0.2">
      <c r="B122" s="18" t="s">
        <v>150</v>
      </c>
      <c r="C122" s="3" t="s">
        <v>263</v>
      </c>
      <c r="D122" s="19" t="s">
        <v>50</v>
      </c>
      <c r="F122" s="3" t="s">
        <v>284</v>
      </c>
    </row>
    <row r="123" spans="2:6" x14ac:dyDescent="0.2">
      <c r="B123" s="18" t="s">
        <v>150</v>
      </c>
      <c r="C123" s="3" t="s">
        <v>278</v>
      </c>
      <c r="D123" s="19" t="s">
        <v>45</v>
      </c>
      <c r="F123" s="3" t="s">
        <v>285</v>
      </c>
    </row>
    <row r="124" spans="2:6" x14ac:dyDescent="0.2">
      <c r="B124" s="18" t="s">
        <v>150</v>
      </c>
      <c r="C124" s="3" t="s">
        <v>281</v>
      </c>
      <c r="D124" s="19" t="s">
        <v>50</v>
      </c>
      <c r="F124" s="3" t="s">
        <v>286</v>
      </c>
    </row>
    <row r="125" spans="2:6" x14ac:dyDescent="0.2">
      <c r="B125" s="18" t="s">
        <v>150</v>
      </c>
      <c r="C125" s="3" t="s">
        <v>285</v>
      </c>
      <c r="D125" s="19" t="s">
        <v>50</v>
      </c>
      <c r="F125" s="3" t="s">
        <v>219</v>
      </c>
    </row>
    <row r="126" spans="2:6" x14ac:dyDescent="0.2">
      <c r="B126" s="18" t="s">
        <v>150</v>
      </c>
      <c r="C126" s="3" t="s">
        <v>287</v>
      </c>
      <c r="D126" s="19" t="s">
        <v>50</v>
      </c>
      <c r="F126" s="3" t="s">
        <v>288</v>
      </c>
    </row>
    <row r="127" spans="2:6" x14ac:dyDescent="0.2">
      <c r="B127" s="18" t="s">
        <v>150</v>
      </c>
      <c r="C127" s="3" t="s">
        <v>289</v>
      </c>
      <c r="D127" s="19" t="s">
        <v>45</v>
      </c>
      <c r="F127" s="3" t="s">
        <v>221</v>
      </c>
    </row>
    <row r="128" spans="2:6" x14ac:dyDescent="0.2">
      <c r="B128" s="18" t="s">
        <v>152</v>
      </c>
      <c r="C128" s="3" t="s">
        <v>152</v>
      </c>
      <c r="D128" s="19" t="s">
        <v>123</v>
      </c>
      <c r="F128" s="3" t="s">
        <v>290</v>
      </c>
    </row>
    <row r="129" spans="2:6" x14ac:dyDescent="0.2">
      <c r="B129" s="18" t="s">
        <v>154</v>
      </c>
      <c r="C129" s="3" t="s">
        <v>154</v>
      </c>
      <c r="D129" s="19" t="s">
        <v>123</v>
      </c>
      <c r="F129" s="3" t="s">
        <v>56</v>
      </c>
    </row>
    <row r="130" spans="2:6" x14ac:dyDescent="0.2">
      <c r="B130" s="18" t="s">
        <v>156</v>
      </c>
      <c r="C130" s="3" t="s">
        <v>177</v>
      </c>
      <c r="D130" s="19" t="s">
        <v>50</v>
      </c>
      <c r="F130" s="3" t="s">
        <v>185</v>
      </c>
    </row>
    <row r="131" spans="2:6" x14ac:dyDescent="0.2">
      <c r="B131" s="18" t="s">
        <v>156</v>
      </c>
      <c r="C131" s="3" t="s">
        <v>264</v>
      </c>
      <c r="D131" s="19" t="s">
        <v>50</v>
      </c>
      <c r="F131" s="3" t="s">
        <v>223</v>
      </c>
    </row>
    <row r="132" spans="2:6" x14ac:dyDescent="0.2">
      <c r="B132" s="18" t="s">
        <v>156</v>
      </c>
      <c r="C132" s="3" t="s">
        <v>145</v>
      </c>
      <c r="D132" s="19" t="s">
        <v>50</v>
      </c>
      <c r="F132" s="3" t="s">
        <v>287</v>
      </c>
    </row>
    <row r="133" spans="2:6" x14ac:dyDescent="0.2">
      <c r="B133" s="18" t="s">
        <v>156</v>
      </c>
      <c r="C133" s="3" t="s">
        <v>237</v>
      </c>
      <c r="D133" s="19" t="s">
        <v>45</v>
      </c>
      <c r="F133" s="3" t="s">
        <v>291</v>
      </c>
    </row>
    <row r="134" spans="2:6" x14ac:dyDescent="0.2">
      <c r="B134" s="18" t="s">
        <v>156</v>
      </c>
      <c r="C134" s="3" t="s">
        <v>156</v>
      </c>
      <c r="D134" s="19" t="s">
        <v>43</v>
      </c>
      <c r="F134" s="3" t="s">
        <v>173</v>
      </c>
    </row>
    <row r="135" spans="2:6" x14ac:dyDescent="0.2">
      <c r="B135" s="18" t="s">
        <v>156</v>
      </c>
      <c r="C135" s="3" t="s">
        <v>247</v>
      </c>
      <c r="D135" s="19" t="s">
        <v>50</v>
      </c>
      <c r="F135" s="3" t="s">
        <v>272</v>
      </c>
    </row>
    <row r="136" spans="2:6" x14ac:dyDescent="0.2">
      <c r="B136" s="18" t="s">
        <v>156</v>
      </c>
      <c r="C136" s="3" t="s">
        <v>277</v>
      </c>
      <c r="D136" s="19" t="s">
        <v>50</v>
      </c>
      <c r="F136" s="3" t="s">
        <v>188</v>
      </c>
    </row>
    <row r="137" spans="2:6" x14ac:dyDescent="0.2">
      <c r="B137" s="18" t="s">
        <v>156</v>
      </c>
      <c r="C137" s="3" t="s">
        <v>292</v>
      </c>
      <c r="D137" s="19" t="s">
        <v>50</v>
      </c>
      <c r="F137" s="3" t="s">
        <v>293</v>
      </c>
    </row>
    <row r="138" spans="2:6" x14ac:dyDescent="0.2">
      <c r="B138" s="18" t="s">
        <v>156</v>
      </c>
      <c r="C138" s="3" t="s">
        <v>294</v>
      </c>
      <c r="D138" s="19" t="s">
        <v>45</v>
      </c>
      <c r="F138" s="3" t="s">
        <v>175</v>
      </c>
    </row>
    <row r="139" spans="2:6" x14ac:dyDescent="0.2">
      <c r="B139" s="18" t="s">
        <v>157</v>
      </c>
      <c r="C139" s="3" t="s">
        <v>157</v>
      </c>
      <c r="D139" s="19" t="s">
        <v>123</v>
      </c>
      <c r="F139" s="3" t="s">
        <v>246</v>
      </c>
    </row>
    <row r="140" spans="2:6" x14ac:dyDescent="0.2">
      <c r="B140" s="18" t="s">
        <v>160</v>
      </c>
      <c r="C140" s="3" t="s">
        <v>160</v>
      </c>
      <c r="D140" s="19" t="s">
        <v>123</v>
      </c>
      <c r="F140" s="3" t="s">
        <v>178</v>
      </c>
    </row>
    <row r="141" spans="2:6" x14ac:dyDescent="0.2">
      <c r="B141" s="18" t="s">
        <v>160</v>
      </c>
      <c r="C141" s="3" t="s">
        <v>295</v>
      </c>
      <c r="D141" s="19" t="s">
        <v>45</v>
      </c>
      <c r="F141" s="3" t="s">
        <v>180</v>
      </c>
    </row>
    <row r="142" spans="2:6" x14ac:dyDescent="0.2">
      <c r="B142" s="18" t="s">
        <v>162</v>
      </c>
      <c r="C142" s="3" t="s">
        <v>201</v>
      </c>
      <c r="D142" s="19" t="s">
        <v>45</v>
      </c>
      <c r="F142" s="3" t="s">
        <v>182</v>
      </c>
    </row>
    <row r="143" spans="2:6" x14ac:dyDescent="0.2">
      <c r="B143" s="18" t="s">
        <v>162</v>
      </c>
      <c r="C143" s="3" t="s">
        <v>244</v>
      </c>
      <c r="D143" s="19" t="s">
        <v>45</v>
      </c>
      <c r="F143" s="3" t="s">
        <v>182</v>
      </c>
    </row>
    <row r="144" spans="2:6" x14ac:dyDescent="0.2">
      <c r="B144" s="18" t="s">
        <v>162</v>
      </c>
      <c r="C144" s="3" t="s">
        <v>162</v>
      </c>
      <c r="D144" s="19" t="s">
        <v>43</v>
      </c>
      <c r="F144" s="3" t="s">
        <v>296</v>
      </c>
    </row>
    <row r="145" spans="2:6" x14ac:dyDescent="0.2">
      <c r="B145" s="18" t="s">
        <v>162</v>
      </c>
      <c r="C145" s="3" t="s">
        <v>284</v>
      </c>
      <c r="D145" s="19" t="s">
        <v>123</v>
      </c>
      <c r="F145" s="3" t="s">
        <v>297</v>
      </c>
    </row>
    <row r="146" spans="2:6" x14ac:dyDescent="0.2">
      <c r="B146" s="18" t="s">
        <v>162</v>
      </c>
      <c r="C146" s="3" t="s">
        <v>290</v>
      </c>
      <c r="D146" s="19" t="s">
        <v>45</v>
      </c>
      <c r="F146" s="3" t="s">
        <v>298</v>
      </c>
    </row>
    <row r="147" spans="2:6" x14ac:dyDescent="0.2">
      <c r="B147" s="18" t="s">
        <v>162</v>
      </c>
      <c r="C147" s="3" t="s">
        <v>293</v>
      </c>
      <c r="D147" s="19" t="s">
        <v>50</v>
      </c>
      <c r="F147" s="3" t="s">
        <v>289</v>
      </c>
    </row>
    <row r="148" spans="2:6" x14ac:dyDescent="0.2">
      <c r="B148" s="18" t="s">
        <v>162</v>
      </c>
      <c r="C148" s="1" t="s">
        <v>299</v>
      </c>
      <c r="D148" s="24" t="s">
        <v>300</v>
      </c>
      <c r="F148" s="3" t="s">
        <v>301</v>
      </c>
    </row>
    <row r="149" spans="2:6" x14ac:dyDescent="0.2">
      <c r="B149" s="18" t="s">
        <v>164</v>
      </c>
      <c r="C149" s="3" t="s">
        <v>220</v>
      </c>
      <c r="D149" s="19" t="s">
        <v>50</v>
      </c>
      <c r="F149" s="3" t="s">
        <v>302</v>
      </c>
    </row>
    <row r="150" spans="2:6" x14ac:dyDescent="0.2">
      <c r="B150" s="18" t="s">
        <v>164</v>
      </c>
      <c r="C150" s="3" t="s">
        <v>242</v>
      </c>
      <c r="D150" s="19" t="s">
        <v>50</v>
      </c>
      <c r="F150" s="3" t="s">
        <v>225</v>
      </c>
    </row>
    <row r="151" spans="2:6" x14ac:dyDescent="0.2">
      <c r="B151" s="18" t="s">
        <v>164</v>
      </c>
      <c r="C151" s="3" t="s">
        <v>259</v>
      </c>
      <c r="D151" s="19" t="s">
        <v>43</v>
      </c>
      <c r="F151" s="3" t="s">
        <v>57</v>
      </c>
    </row>
    <row r="152" spans="2:6" x14ac:dyDescent="0.2">
      <c r="B152" s="18" t="s">
        <v>164</v>
      </c>
      <c r="C152" s="3" t="s">
        <v>303</v>
      </c>
      <c r="D152" s="19" t="s">
        <v>50</v>
      </c>
      <c r="F152" s="3" t="s">
        <v>227</v>
      </c>
    </row>
    <row r="153" spans="2:6" x14ac:dyDescent="0.2">
      <c r="B153" s="18" t="s">
        <v>164</v>
      </c>
      <c r="C153" s="3" t="s">
        <v>296</v>
      </c>
      <c r="D153" s="19" t="s">
        <v>50</v>
      </c>
      <c r="F153" s="3" t="s">
        <v>228</v>
      </c>
    </row>
    <row r="154" spans="2:6" x14ac:dyDescent="0.2">
      <c r="B154" s="18" t="s">
        <v>164</v>
      </c>
      <c r="C154" s="3" t="s">
        <v>304</v>
      </c>
      <c r="D154" s="19" t="s">
        <v>50</v>
      </c>
      <c r="F154" s="3" t="s">
        <v>47</v>
      </c>
    </row>
    <row r="155" spans="2:6" x14ac:dyDescent="0.2">
      <c r="B155" s="18" t="s">
        <v>167</v>
      </c>
      <c r="C155" s="3" t="s">
        <v>202</v>
      </c>
      <c r="D155" s="19" t="s">
        <v>45</v>
      </c>
      <c r="F155" s="3" t="s">
        <v>190</v>
      </c>
    </row>
    <row r="156" spans="2:6" x14ac:dyDescent="0.2">
      <c r="B156" s="18" t="s">
        <v>167</v>
      </c>
      <c r="C156" s="3" t="s">
        <v>203</v>
      </c>
      <c r="D156" s="19" t="s">
        <v>43</v>
      </c>
      <c r="F156" s="3" t="s">
        <v>230</v>
      </c>
    </row>
    <row r="157" spans="2:6" x14ac:dyDescent="0.2">
      <c r="B157" s="18" t="s">
        <v>167</v>
      </c>
      <c r="C157" s="3" t="s">
        <v>204</v>
      </c>
      <c r="D157" s="19" t="s">
        <v>45</v>
      </c>
      <c r="F157" s="3" t="s">
        <v>184</v>
      </c>
    </row>
    <row r="158" spans="2:6" x14ac:dyDescent="0.2">
      <c r="B158" s="18" t="s">
        <v>167</v>
      </c>
      <c r="C158" s="3" t="s">
        <v>167</v>
      </c>
      <c r="D158" s="19" t="s">
        <v>43</v>
      </c>
      <c r="F158" s="3" t="s">
        <v>58</v>
      </c>
    </row>
    <row r="159" spans="2:6" x14ac:dyDescent="0.2">
      <c r="B159" s="18" t="s">
        <v>167</v>
      </c>
      <c r="C159" s="3" t="s">
        <v>283</v>
      </c>
      <c r="D159" s="19" t="s">
        <v>50</v>
      </c>
      <c r="F159" s="3" t="s">
        <v>187</v>
      </c>
    </row>
    <row r="160" spans="2:6" x14ac:dyDescent="0.2">
      <c r="B160" s="18" t="s">
        <v>167</v>
      </c>
      <c r="C160" s="3" t="s">
        <v>286</v>
      </c>
      <c r="D160" s="19" t="s">
        <v>50</v>
      </c>
      <c r="F160" s="3" t="s">
        <v>304</v>
      </c>
    </row>
    <row r="161" spans="2:6" x14ac:dyDescent="0.2">
      <c r="B161" s="18" t="s">
        <v>167</v>
      </c>
      <c r="C161" s="3" t="s">
        <v>302</v>
      </c>
      <c r="D161" s="19" t="s">
        <v>50</v>
      </c>
      <c r="F161" s="3" t="s">
        <v>131</v>
      </c>
    </row>
    <row r="162" spans="2:6" x14ac:dyDescent="0.2">
      <c r="B162" s="18" t="s">
        <v>167</v>
      </c>
      <c r="C162" s="3" t="s">
        <v>305</v>
      </c>
      <c r="D162" s="19" t="s">
        <v>45</v>
      </c>
      <c r="F162" s="3" t="s">
        <v>231</v>
      </c>
    </row>
    <row r="163" spans="2:6" x14ac:dyDescent="0.2">
      <c r="B163" s="18" t="s">
        <v>144</v>
      </c>
      <c r="C163" s="3" t="s">
        <v>144</v>
      </c>
      <c r="D163" s="19" t="s">
        <v>43</v>
      </c>
      <c r="F163" s="3" t="s">
        <v>233</v>
      </c>
    </row>
    <row r="164" spans="2:6" x14ac:dyDescent="0.2">
      <c r="B164" s="18" t="s">
        <v>144</v>
      </c>
      <c r="C164" s="3" t="s">
        <v>226</v>
      </c>
      <c r="D164" s="19" t="s">
        <v>50</v>
      </c>
      <c r="F164" s="3" t="s">
        <v>234</v>
      </c>
    </row>
    <row r="165" spans="2:6" x14ac:dyDescent="0.2">
      <c r="B165" s="18" t="s">
        <v>144</v>
      </c>
      <c r="C165" s="3" t="s">
        <v>260</v>
      </c>
      <c r="D165" s="19" t="s">
        <v>50</v>
      </c>
      <c r="F165" s="3" t="s">
        <v>248</v>
      </c>
    </row>
    <row r="166" spans="2:6" x14ac:dyDescent="0.2">
      <c r="B166" s="18" t="s">
        <v>144</v>
      </c>
      <c r="C166" s="3" t="s">
        <v>261</v>
      </c>
      <c r="D166" s="19" t="s">
        <v>50</v>
      </c>
      <c r="F166" s="3" t="s">
        <v>250</v>
      </c>
    </row>
    <row r="167" spans="2:6" x14ac:dyDescent="0.2">
      <c r="B167" s="18" t="s">
        <v>144</v>
      </c>
      <c r="C167" s="3" t="s">
        <v>269</v>
      </c>
      <c r="D167" s="19" t="s">
        <v>50</v>
      </c>
      <c r="F167" s="3" t="s">
        <v>235</v>
      </c>
    </row>
    <row r="168" spans="2:6" x14ac:dyDescent="0.2">
      <c r="B168" s="18" t="s">
        <v>144</v>
      </c>
      <c r="C168" s="3" t="s">
        <v>298</v>
      </c>
      <c r="D168" s="19" t="s">
        <v>45</v>
      </c>
      <c r="F168" s="3" t="s">
        <v>245</v>
      </c>
    </row>
    <row r="169" spans="2:6" x14ac:dyDescent="0.2">
      <c r="B169" s="18" t="s">
        <v>144</v>
      </c>
      <c r="C169" s="3" t="s">
        <v>301</v>
      </c>
      <c r="D169" s="19" t="s">
        <v>45</v>
      </c>
      <c r="F169" s="3" t="s">
        <v>193</v>
      </c>
    </row>
    <row r="170" spans="2:6" x14ac:dyDescent="0.2">
      <c r="B170" s="18" t="s">
        <v>144</v>
      </c>
      <c r="C170" s="3" t="s">
        <v>306</v>
      </c>
      <c r="D170" s="19" t="s">
        <v>50</v>
      </c>
      <c r="F170" s="3" t="s">
        <v>252</v>
      </c>
    </row>
    <row r="171" spans="2:6" x14ac:dyDescent="0.2">
      <c r="B171" s="18" t="s">
        <v>169</v>
      </c>
      <c r="C171" s="3" t="s">
        <v>166</v>
      </c>
      <c r="D171" s="19" t="s">
        <v>50</v>
      </c>
      <c r="F171" s="3" t="s">
        <v>307</v>
      </c>
    </row>
    <row r="172" spans="2:6" x14ac:dyDescent="0.2">
      <c r="B172" s="18" t="s">
        <v>169</v>
      </c>
      <c r="C172" s="3" t="s">
        <v>191</v>
      </c>
      <c r="D172" s="19" t="s">
        <v>50</v>
      </c>
      <c r="F172" s="3" t="s">
        <v>280</v>
      </c>
    </row>
    <row r="173" spans="2:6" x14ac:dyDescent="0.2">
      <c r="B173" s="18" t="s">
        <v>169</v>
      </c>
      <c r="C173" s="3" t="s">
        <v>194</v>
      </c>
      <c r="D173" s="19" t="s">
        <v>45</v>
      </c>
      <c r="F173" s="3" t="s">
        <v>282</v>
      </c>
    </row>
    <row r="174" spans="2:6" x14ac:dyDescent="0.2">
      <c r="B174" s="18" t="s">
        <v>169</v>
      </c>
      <c r="C174" s="3" t="s">
        <v>258</v>
      </c>
      <c r="D174" s="19" t="s">
        <v>45</v>
      </c>
      <c r="F174" s="3" t="s">
        <v>274</v>
      </c>
    </row>
    <row r="175" spans="2:6" x14ac:dyDescent="0.2">
      <c r="B175" s="18" t="s">
        <v>169</v>
      </c>
      <c r="C175" s="3" t="s">
        <v>268</v>
      </c>
      <c r="D175" s="19" t="s">
        <v>50</v>
      </c>
      <c r="F175" s="3" t="s">
        <v>275</v>
      </c>
    </row>
    <row r="176" spans="2:6" x14ac:dyDescent="0.2">
      <c r="B176" s="18" t="s">
        <v>169</v>
      </c>
      <c r="C176" s="3" t="s">
        <v>271</v>
      </c>
      <c r="D176" s="19" t="s">
        <v>45</v>
      </c>
      <c r="F176" s="3" t="s">
        <v>236</v>
      </c>
    </row>
    <row r="177" spans="2:6" x14ac:dyDescent="0.2">
      <c r="B177" s="18" t="s">
        <v>169</v>
      </c>
      <c r="C177" s="3" t="s">
        <v>273</v>
      </c>
      <c r="D177" s="19" t="s">
        <v>50</v>
      </c>
      <c r="F177" s="3" t="s">
        <v>189</v>
      </c>
    </row>
    <row r="178" spans="2:6" x14ac:dyDescent="0.2">
      <c r="B178" s="18" t="s">
        <v>169</v>
      </c>
      <c r="C178" s="3" t="s">
        <v>169</v>
      </c>
      <c r="D178" s="19" t="s">
        <v>43</v>
      </c>
      <c r="F178" s="1" t="s">
        <v>299</v>
      </c>
    </row>
    <row r="179" spans="2:6" x14ac:dyDescent="0.2">
      <c r="B179" s="18" t="s">
        <v>169</v>
      </c>
      <c r="C179" s="3" t="s">
        <v>288</v>
      </c>
      <c r="D179" s="19" t="s">
        <v>45</v>
      </c>
      <c r="F179" s="3" t="s">
        <v>305</v>
      </c>
    </row>
    <row r="180" spans="2:6" x14ac:dyDescent="0.2">
      <c r="B180" s="18" t="s">
        <v>169</v>
      </c>
      <c r="C180" s="3" t="s">
        <v>297</v>
      </c>
      <c r="D180" s="19" t="s">
        <v>50</v>
      </c>
      <c r="F180" s="3" t="s">
        <v>196</v>
      </c>
    </row>
    <row r="181" spans="2:6" x14ac:dyDescent="0.2">
      <c r="B181" s="18" t="s">
        <v>169</v>
      </c>
      <c r="C181" s="3" t="s">
        <v>307</v>
      </c>
      <c r="D181" s="19" t="s">
        <v>45</v>
      </c>
      <c r="F181" s="3" t="s">
        <v>198</v>
      </c>
    </row>
    <row r="182" spans="2:6" x14ac:dyDescent="0.2">
      <c r="B182" s="18" t="s">
        <v>169</v>
      </c>
      <c r="C182" s="3" t="s">
        <v>308</v>
      </c>
      <c r="D182" s="19" t="s">
        <v>50</v>
      </c>
      <c r="F182" s="3" t="s">
        <v>238</v>
      </c>
    </row>
    <row r="183" spans="2:6" x14ac:dyDescent="0.2">
      <c r="B183" s="18" t="s">
        <v>169</v>
      </c>
      <c r="C183" s="3" t="s">
        <v>266</v>
      </c>
      <c r="D183" s="19" t="s">
        <v>50</v>
      </c>
      <c r="F183" s="3" t="s">
        <v>192</v>
      </c>
    </row>
    <row r="184" spans="2:6" x14ac:dyDescent="0.2">
      <c r="B184" s="18" t="s">
        <v>171</v>
      </c>
      <c r="C184" s="3" t="s">
        <v>171</v>
      </c>
      <c r="D184" s="19" t="s">
        <v>123</v>
      </c>
      <c r="F184" s="3" t="s">
        <v>200</v>
      </c>
    </row>
    <row r="185" spans="2:6" x14ac:dyDescent="0.2">
      <c r="B185" s="18" t="s">
        <v>173</v>
      </c>
      <c r="C185" s="3" t="s">
        <v>291</v>
      </c>
      <c r="D185" s="19" t="s">
        <v>50</v>
      </c>
      <c r="F185" s="3" t="s">
        <v>195</v>
      </c>
    </row>
    <row r="186" spans="2:6" x14ac:dyDescent="0.2">
      <c r="B186" s="18" t="s">
        <v>173</v>
      </c>
      <c r="C186" s="3" t="s">
        <v>173</v>
      </c>
      <c r="D186" s="19" t="s">
        <v>43</v>
      </c>
      <c r="F186" s="3" t="s">
        <v>295</v>
      </c>
    </row>
    <row r="187" spans="2:6" x14ac:dyDescent="0.2">
      <c r="B187" s="18" t="s">
        <v>175</v>
      </c>
      <c r="C187" s="3" t="s">
        <v>175</v>
      </c>
      <c r="D187" s="19" t="s">
        <v>123</v>
      </c>
      <c r="F187" s="3" t="s">
        <v>306</v>
      </c>
    </row>
    <row r="188" spans="2:6" x14ac:dyDescent="0.2">
      <c r="B188" s="18" t="s">
        <v>178</v>
      </c>
      <c r="C188" s="3" t="s">
        <v>178</v>
      </c>
      <c r="D188" s="19" t="s">
        <v>123</v>
      </c>
      <c r="F188" s="3" t="s">
        <v>276</v>
      </c>
    </row>
    <row r="189" spans="2:6" x14ac:dyDescent="0.2">
      <c r="B189" s="18" t="s">
        <v>180</v>
      </c>
      <c r="C189" s="3" t="s">
        <v>180</v>
      </c>
      <c r="D189" s="19" t="s">
        <v>123</v>
      </c>
      <c r="F189" s="3" t="s">
        <v>48</v>
      </c>
    </row>
    <row r="190" spans="2:6" x14ac:dyDescent="0.2">
      <c r="B190" s="18" t="s">
        <v>182</v>
      </c>
      <c r="C190" s="3" t="s">
        <v>182</v>
      </c>
      <c r="D190" s="19" t="s">
        <v>123</v>
      </c>
      <c r="F190" s="3" t="s">
        <v>239</v>
      </c>
    </row>
    <row r="191" spans="2:6" x14ac:dyDescent="0.2">
      <c r="B191" s="18" t="s">
        <v>184</v>
      </c>
      <c r="C191" s="3" t="s">
        <v>184</v>
      </c>
      <c r="D191" s="19" t="s">
        <v>43</v>
      </c>
      <c r="F191" s="3" t="s">
        <v>240</v>
      </c>
    </row>
    <row r="192" spans="2:6" x14ac:dyDescent="0.2">
      <c r="B192" s="18" t="s">
        <v>187</v>
      </c>
      <c r="C192" s="3" t="s">
        <v>187</v>
      </c>
      <c r="D192" s="19" t="s">
        <v>123</v>
      </c>
      <c r="F192" s="3" t="s">
        <v>197</v>
      </c>
    </row>
    <row r="193" spans="2:6" x14ac:dyDescent="0.2">
      <c r="B193" s="18" t="s">
        <v>189</v>
      </c>
      <c r="C193" s="3" t="s">
        <v>189</v>
      </c>
      <c r="D193" s="19" t="s">
        <v>45</v>
      </c>
      <c r="F193" s="3" t="s">
        <v>241</v>
      </c>
    </row>
    <row r="194" spans="2:6" x14ac:dyDescent="0.2">
      <c r="B194" s="18" t="s">
        <v>192</v>
      </c>
      <c r="C194" s="3" t="s">
        <v>192</v>
      </c>
      <c r="D194" s="19" t="s">
        <v>123</v>
      </c>
      <c r="F194" s="3" t="s">
        <v>199</v>
      </c>
    </row>
    <row r="195" spans="2:6" x14ac:dyDescent="0.2">
      <c r="B195" s="18" t="s">
        <v>195</v>
      </c>
      <c r="C195" s="3" t="s">
        <v>195</v>
      </c>
      <c r="D195" s="19" t="s">
        <v>123</v>
      </c>
      <c r="F195" s="3" t="s">
        <v>292</v>
      </c>
    </row>
    <row r="196" spans="2:6" x14ac:dyDescent="0.2">
      <c r="B196" s="18" t="s">
        <v>197</v>
      </c>
      <c r="C196" s="3" t="s">
        <v>197</v>
      </c>
      <c r="D196" s="19" t="s">
        <v>43</v>
      </c>
      <c r="F196" s="3" t="s">
        <v>294</v>
      </c>
    </row>
    <row r="197" spans="2:6" x14ac:dyDescent="0.2">
      <c r="B197" s="42" t="s">
        <v>199</v>
      </c>
      <c r="C197" s="20" t="s">
        <v>199</v>
      </c>
      <c r="D197" s="21" t="s">
        <v>123</v>
      </c>
      <c r="F197" s="20" t="s">
        <v>308</v>
      </c>
    </row>
    <row r="198" spans="2:6" x14ac:dyDescent="0.2">
      <c r="F198" s="1" t="s">
        <v>136</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label version="1.0">
  <element uid="id_newpolicy" value=""/>
  <element uid="id_unclassified" value=""/>
</label>
</file>

<file path=customXml/item4.xml><?xml version="1.0" encoding="utf-8"?>
<?mso-contentType ?>
<SharedContentType xmlns="Microsoft.SharePoint.Taxonomy.ContentTypeSync" SourceId="d1117845-93f6-4da3-abaa-fcb4fa669c78" ContentTypeId="0x010100A5BF1C78D9F64B679A5EBDE1C6598EBC01" PreviousValue="false"/>
</file>

<file path=customXml/item5.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6" ma:contentTypeDescription="Create a new document." ma:contentTypeScope="" ma:versionID="9dcf79a4318942ea7e05ff1179709500">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2.xml><?xml version="1.0" encoding="utf-8"?>
<ds:datastoreItem xmlns:ds="http://schemas.openxmlformats.org/officeDocument/2006/customXml" ds:itemID="{564D7683-5563-4A75-B85B-E80E0FC4ACE5}">
  <ds:schemaRefs>
    <ds:schemaRef ds:uri="http://purl.org/dc/elements/1.1/"/>
    <ds:schemaRef ds:uri="http://schemas.microsoft.com/office/2006/metadata/properties"/>
    <ds:schemaRef ds:uri="http://schemas.microsoft.com/office/2006/documentManagement/types"/>
    <ds:schemaRef ds:uri="662745e8-e224-48e8-a2e3-254862b8c2f5"/>
    <ds:schemaRef ds:uri="http://schemas.openxmlformats.org/package/2006/metadata/core-properties"/>
    <ds:schemaRef ds:uri="http://purl.org/dc/dcmitype/"/>
    <ds:schemaRef ds:uri="http://www.w3.org/XML/1998/namespac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23C97B82-EABE-4088-9514-83B40D0E2223}">
  <ds:schemaRefs/>
</ds:datastoreItem>
</file>

<file path=customXml/itemProps4.xml><?xml version="1.0" encoding="utf-8"?>
<ds:datastoreItem xmlns:ds="http://schemas.openxmlformats.org/officeDocument/2006/customXml" ds:itemID="{AB9F32B2-D742-45CE-BDF4-6C72E18F8357}">
  <ds:schemaRefs>
    <ds:schemaRef ds:uri="Microsoft.SharePoint.Taxonomy.ContentTypeSync"/>
  </ds:schemaRefs>
</ds:datastoreItem>
</file>

<file path=customXml/itemProps5.xml><?xml version="1.0" encoding="utf-8"?>
<ds:datastoreItem xmlns:ds="http://schemas.openxmlformats.org/officeDocument/2006/customXml" ds:itemID="{4483C00E-ADCE-48E3-9B73-6D072EF9F5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2023-05-05T07:15:59Z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y fmtid="{D5CDD505-2E9C-101B-9397-08002B2CF9AE}" pid="29" name="MediaServiceImageTags">
    <vt:lpwstr/>
  </property>
</Properties>
</file>